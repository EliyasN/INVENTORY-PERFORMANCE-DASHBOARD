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docs.live.net/56dfa107c1000c8e/Pictures/"/>
    </mc:Choice>
  </mc:AlternateContent>
  <xr:revisionPtr revIDLastSave="0" documentId="8_{0A6EB366-6507-44B0-8877-94A587D8AED2}" xr6:coauthVersionLast="47" xr6:coauthVersionMax="47" xr10:uidLastSave="{00000000-0000-0000-0000-000000000000}"/>
  <bookViews>
    <workbookView xWindow="-120" yWindow="-120" windowWidth="20730" windowHeight="11160" xr2:uid="{7C139AD7-2648-4C83-B0B8-926769076D46}"/>
  </bookViews>
  <sheets>
    <sheet name="Data" sheetId="1" r:id="rId1"/>
    <sheet name="Pivot" sheetId="5" r:id="rId2"/>
    <sheet name="Dashboard" sheetId="6" r:id="rId3"/>
  </sheets>
  <definedNames>
    <definedName name="SC_Category">#N/A</definedName>
    <definedName name="SC_Month">#N/A</definedName>
    <definedName name="SC_Supplier">#N/A</definedName>
  </definedNames>
  <calcPr calcId="191029" calcMode="manual"/>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366" i="1" l="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V4" i="6"/>
  <c r="B4" i="6"/>
  <c r="Q4" i="6"/>
  <c r="L4" i="6"/>
  <c r="G4" i="6"/>
</calcChain>
</file>

<file path=xl/sharedStrings.xml><?xml version="1.0" encoding="utf-8"?>
<sst xmlns="http://schemas.openxmlformats.org/spreadsheetml/2006/main" count="1546" uniqueCount="58">
  <si>
    <t>Date</t>
  </si>
  <si>
    <t>Month</t>
  </si>
  <si>
    <t>Product</t>
  </si>
  <si>
    <t>Category</t>
  </si>
  <si>
    <t>Stock In</t>
  </si>
  <si>
    <t>Stock Out</t>
  </si>
  <si>
    <t>Revenue</t>
  </si>
  <si>
    <t>Expenses</t>
  </si>
  <si>
    <t>Supplier</t>
  </si>
  <si>
    <t>Profit</t>
  </si>
  <si>
    <t>Profit Margin</t>
  </si>
  <si>
    <t>Jan</t>
  </si>
  <si>
    <t>Track Jacket</t>
  </si>
  <si>
    <t>Clothing</t>
  </si>
  <si>
    <t>TechCorp</t>
  </si>
  <si>
    <t>Yoga Pants</t>
  </si>
  <si>
    <t>XYZ Pvt</t>
  </si>
  <si>
    <t>USB-C Cable</t>
  </si>
  <si>
    <t>Electronics</t>
  </si>
  <si>
    <t>Running Shoes</t>
  </si>
  <si>
    <t>Footwear</t>
  </si>
  <si>
    <t>ABC Ltd</t>
  </si>
  <si>
    <t>Bluetooth Speaker</t>
  </si>
  <si>
    <t>OfficePro</t>
  </si>
  <si>
    <t>Wireless Mouse</t>
  </si>
  <si>
    <t>Laptop Stand</t>
  </si>
  <si>
    <t>Accessories</t>
  </si>
  <si>
    <t>SoundX</t>
  </si>
  <si>
    <t>Feb</t>
  </si>
  <si>
    <t>Mar</t>
  </si>
  <si>
    <t>Apr</t>
  </si>
  <si>
    <t>May</t>
  </si>
  <si>
    <t>Jun</t>
  </si>
  <si>
    <t>Jul</t>
  </si>
  <si>
    <t>Aug</t>
  </si>
  <si>
    <t>Sep</t>
  </si>
  <si>
    <t>Oct</t>
  </si>
  <si>
    <t>Nov</t>
  </si>
  <si>
    <t>Dec</t>
  </si>
  <si>
    <t>Total Revenue</t>
  </si>
  <si>
    <t>Values</t>
  </si>
  <si>
    <t>Total Profit</t>
  </si>
  <si>
    <t>Total Expenses</t>
  </si>
  <si>
    <t>UnitsSold</t>
  </si>
  <si>
    <t>Grand Total</t>
  </si>
  <si>
    <t>Monthly Performance</t>
  </si>
  <si>
    <t>Category Performance</t>
  </si>
  <si>
    <t>Product Performance</t>
  </si>
  <si>
    <t>Supplier Performance</t>
  </si>
  <si>
    <t>StockIn</t>
  </si>
  <si>
    <t>StockOut</t>
  </si>
  <si>
    <t>Stock Flow</t>
  </si>
  <si>
    <t>INVENTORY PERFORMANCE DASHBOARD</t>
  </si>
  <si>
    <t>REVENUE</t>
  </si>
  <si>
    <t>PROFIT</t>
  </si>
  <si>
    <t>UNITS SOLD</t>
  </si>
  <si>
    <t>EXPENSES</t>
  </si>
  <si>
    <t>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</si>
</sst>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
    <numFmt numFmtId="165" formatCode="0.0%"/>
  </numFmts>
  <fonts count="10" x14ac:knownFonts="1">
    <font>
      <sz val="11"/>
      <color theme="1"/>
      <name val="Calibri"/>
      <family val="2"/>
      <scheme val="minor"/>
    </font>
    <font>
      <b/>
      <sz val="11"/>
      <color theme="0"/>
      <name val="Calibri"/>
      <family val="2"/>
      <scheme val="minor"/>
    </font>
    <font>
      <b/>
      <sz val="10"/>
      <color rgb="FFFFFFFF"/>
      <name val="Calibri"/>
      <family val="2"/>
      <scheme val="minor"/>
    </font>
    <font>
      <b/>
      <sz val="36"/>
      <color rgb="FFFFFFFF"/>
      <name val="Calibri"/>
      <family val="2"/>
      <scheme val="minor"/>
    </font>
    <font>
      <b/>
      <sz val="16"/>
      <color rgb="FFFFFFFF"/>
      <name val="Calibri"/>
      <family val="2"/>
      <scheme val="minor"/>
    </font>
    <font>
      <b/>
      <sz val="20"/>
      <color rgb="FF2962B5"/>
      <name val="Calibri"/>
      <family val="2"/>
      <scheme val="minor"/>
    </font>
    <font>
      <b/>
      <sz val="20"/>
      <color rgb="FF2EA064"/>
      <name val="Calibri"/>
      <family val="2"/>
      <scheme val="minor"/>
    </font>
    <font>
      <b/>
      <sz val="20"/>
      <color rgb="FFE6821E"/>
      <name val="Calibri"/>
      <family val="2"/>
      <scheme val="minor"/>
    </font>
    <font>
      <b/>
      <sz val="20"/>
      <color rgb="FFBE3C3C"/>
      <name val="Calibri"/>
      <family val="2"/>
      <scheme val="minor"/>
    </font>
    <font>
      <b/>
      <sz val="20"/>
      <color rgb="FF7850C8"/>
      <name val="Calibri"/>
      <family val="2"/>
      <scheme val="minor"/>
    </font>
  </fonts>
  <fills count="12">
    <fill>
      <patternFill patternType="none"/>
    </fill>
    <fill>
      <patternFill patternType="gray125"/>
    </fill>
    <fill>
      <patternFill patternType="solid">
        <fgColor theme="4"/>
        <bgColor indexed="64"/>
      </patternFill>
    </fill>
    <fill>
      <patternFill patternType="solid">
        <fgColor theme="4" tint="0.79998168889431442"/>
        <bgColor theme="4" tint="0.79998168889431442"/>
      </patternFill>
    </fill>
    <fill>
      <patternFill patternType="solid">
        <fgColor rgb="FF1F497D"/>
        <bgColor indexed="64"/>
      </patternFill>
    </fill>
    <fill>
      <patternFill patternType="solid">
        <fgColor rgb="FFF4F6FB"/>
        <bgColor indexed="64"/>
      </patternFill>
    </fill>
    <fill>
      <patternFill patternType="solid">
        <fgColor rgb="FF2962B5"/>
        <bgColor indexed="64"/>
      </patternFill>
    </fill>
    <fill>
      <patternFill patternType="solid">
        <fgColor rgb="FFFFFFFF"/>
        <bgColor indexed="64"/>
      </patternFill>
    </fill>
    <fill>
      <patternFill patternType="solid">
        <fgColor rgb="FF2EA064"/>
        <bgColor indexed="64"/>
      </patternFill>
    </fill>
    <fill>
      <patternFill patternType="solid">
        <fgColor rgb="FFE6821E"/>
        <bgColor indexed="64"/>
      </patternFill>
    </fill>
    <fill>
      <patternFill patternType="solid">
        <fgColor rgb="FFBE3C3C"/>
        <bgColor indexed="64"/>
      </patternFill>
    </fill>
    <fill>
      <patternFill patternType="solid">
        <fgColor rgb="FF7850C8"/>
        <bgColor indexed="64"/>
      </patternFill>
    </fill>
  </fills>
  <borders count="18">
    <border>
      <left/>
      <right/>
      <top/>
      <bottom/>
      <diagonal/>
    </border>
    <border>
      <left/>
      <right/>
      <top style="thin">
        <color auto="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thin">
        <color auto="1"/>
      </left>
      <right style="thin">
        <color auto="1"/>
      </right>
      <top style="thin">
        <color auto="1"/>
      </top>
      <bottom/>
      <diagonal/>
    </border>
    <border>
      <left style="thin">
        <color theme="4" tint="0.39997558519241921"/>
      </left>
      <right/>
      <top style="thin">
        <color auto="1"/>
      </top>
      <bottom/>
      <diagonal/>
    </border>
    <border>
      <left/>
      <right style="thin">
        <color theme="4" tint="0.39997558519241921"/>
      </right>
      <top style="thin">
        <color auto="1"/>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rgb="FFBEC8D7"/>
      </left>
      <right style="thin">
        <color rgb="FFBEC8D7"/>
      </right>
      <top style="thin">
        <color rgb="FFBEC8D7"/>
      </top>
      <bottom style="thin">
        <color rgb="FFBEC8D7"/>
      </bottom>
      <diagonal/>
    </border>
    <border>
      <left style="thin">
        <color rgb="FF2962B5"/>
      </left>
      <right style="thin">
        <color rgb="FF2962B5"/>
      </right>
      <top style="thin">
        <color rgb="FF2962B5"/>
      </top>
      <bottom style="thin">
        <color rgb="FF2962B5"/>
      </bottom>
      <diagonal/>
    </border>
    <border>
      <left style="thin">
        <color rgb="FF2EA064"/>
      </left>
      <right style="thin">
        <color rgb="FF2EA064"/>
      </right>
      <top style="thin">
        <color rgb="FF2EA064"/>
      </top>
      <bottom style="thin">
        <color rgb="FF2EA064"/>
      </bottom>
      <diagonal/>
    </border>
    <border>
      <left style="thin">
        <color rgb="FFE6821E"/>
      </left>
      <right style="thin">
        <color rgb="FFE6821E"/>
      </right>
      <top style="thin">
        <color rgb="FFE6821E"/>
      </top>
      <bottom style="thin">
        <color rgb="FFE6821E"/>
      </bottom>
      <diagonal/>
    </border>
    <border>
      <left style="thin">
        <color rgb="FFBE3C3C"/>
      </left>
      <right style="thin">
        <color rgb="FFBE3C3C"/>
      </right>
      <top style="thin">
        <color rgb="FFBE3C3C"/>
      </top>
      <bottom style="thin">
        <color rgb="FFBE3C3C"/>
      </bottom>
      <diagonal/>
    </border>
    <border>
      <left style="thin">
        <color rgb="FF7850C8"/>
      </left>
      <right style="thin">
        <color rgb="FF7850C8"/>
      </right>
      <top style="thin">
        <color rgb="FF7850C8"/>
      </top>
      <bottom style="thin">
        <color rgb="FF7850C8"/>
      </bottom>
      <diagonal/>
    </border>
  </borders>
  <cellStyleXfs count="1">
    <xf numFmtId="0" fontId="0" fillId="0" borderId="0"/>
  </cellStyleXfs>
  <cellXfs count="33">
    <xf numFmtId="0" fontId="0" fillId="0" borderId="0" xfId="0"/>
    <xf numFmtId="0" fontId="0" fillId="3" borderId="3" xfId="0" applyFont="1" applyFill="1" applyBorder="1"/>
    <xf numFmtId="0" fontId="0" fillId="3" borderId="4" xfId="0" applyFont="1" applyFill="1" applyBorder="1"/>
    <xf numFmtId="0" fontId="1" fillId="2" borderId="5" xfId="0" applyFont="1" applyFill="1" applyBorder="1" applyAlignment="1">
      <alignment horizontal="center" vertical="top"/>
    </xf>
    <xf numFmtId="0" fontId="1" fillId="2" borderId="6" xfId="0" applyFont="1" applyFill="1" applyBorder="1"/>
    <xf numFmtId="14" fontId="0" fillId="3" borderId="7" xfId="0" applyNumberFormat="1" applyFont="1" applyFill="1" applyBorder="1" applyAlignment="1">
      <alignment horizontal="left" vertical="center"/>
    </xf>
    <xf numFmtId="0" fontId="0" fillId="3" borderId="1" xfId="0" applyFont="1" applyFill="1" applyBorder="1"/>
    <xf numFmtId="0" fontId="0" fillId="3" borderId="8" xfId="0" applyFont="1" applyFill="1" applyBorder="1"/>
    <xf numFmtId="14" fontId="0" fillId="0" borderId="9" xfId="0" applyNumberFormat="1" applyFont="1" applyBorder="1" applyAlignment="1">
      <alignment horizontal="left" vertical="center"/>
    </xf>
    <xf numFmtId="0" fontId="0" fillId="0" borderId="10" xfId="0" applyFont="1" applyBorder="1"/>
    <xf numFmtId="0" fontId="0" fillId="0" borderId="11" xfId="0" applyFont="1" applyBorder="1"/>
    <xf numFmtId="14" fontId="0" fillId="3" borderId="9" xfId="0" applyNumberFormat="1" applyFont="1" applyFill="1" applyBorder="1" applyAlignment="1">
      <alignment horizontal="left" vertical="center"/>
    </xf>
    <xf numFmtId="0" fontId="0" fillId="3" borderId="10" xfId="0" applyFont="1" applyFill="1" applyBorder="1"/>
    <xf numFmtId="0" fontId="0" fillId="3" borderId="11" xfId="0" applyFont="1" applyFill="1" applyBorder="1"/>
    <xf numFmtId="14" fontId="0" fillId="3" borderId="2" xfId="0" applyNumberFormat="1" applyFont="1" applyFill="1" applyBorder="1" applyAlignment="1">
      <alignment horizontal="left" vertical="center"/>
    </xf>
    <xf numFmtId="0" fontId="0" fillId="0" borderId="0" xfId="0" pivotButton="1"/>
    <xf numFmtId="164" fontId="0" fillId="0" borderId="0" xfId="0" applyNumberFormat="1"/>
    <xf numFmtId="3" fontId="0" fillId="0" borderId="0" xfId="0" applyNumberFormat="1"/>
    <xf numFmtId="0" fontId="0" fillId="5" borderId="0" xfId="0" applyFill="1"/>
    <xf numFmtId="0" fontId="0" fillId="5" borderId="12" xfId="0" applyFill="1" applyBorder="1"/>
    <xf numFmtId="0" fontId="2" fillId="4" borderId="0" xfId="0" applyFont="1" applyFill="1" applyAlignment="1">
      <alignment horizontal="left"/>
    </xf>
    <xf numFmtId="165" fontId="9" fillId="7" borderId="17" xfId="0" applyNumberFormat="1" applyFont="1" applyFill="1" applyBorder="1" applyAlignment="1">
      <alignment horizontal="center" vertical="center"/>
    </xf>
    <xf numFmtId="0" fontId="3" fillId="6" borderId="12" xfId="0" applyFont="1" applyFill="1" applyBorder="1" applyAlignment="1">
      <alignment horizontal="center" vertical="center"/>
    </xf>
    <xf numFmtId="0" fontId="0" fillId="6" borderId="12" xfId="0" applyFill="1" applyBorder="1" applyAlignment="1">
      <alignment horizontal="center" vertical="center"/>
    </xf>
    <xf numFmtId="0" fontId="4" fillId="6" borderId="13" xfId="0" applyFont="1" applyFill="1" applyBorder="1" applyAlignment="1">
      <alignment horizontal="center" vertical="center"/>
    </xf>
    <xf numFmtId="164" fontId="5" fillId="7" borderId="13" xfId="0" applyNumberFormat="1" applyFont="1" applyFill="1" applyBorder="1" applyAlignment="1">
      <alignment horizontal="center" vertical="center"/>
    </xf>
    <xf numFmtId="0" fontId="4" fillId="8" borderId="14" xfId="0" applyFont="1" applyFill="1" applyBorder="1" applyAlignment="1">
      <alignment horizontal="center" vertical="center"/>
    </xf>
    <xf numFmtId="164" fontId="6" fillId="7" borderId="14" xfId="0" applyNumberFormat="1" applyFont="1" applyFill="1" applyBorder="1" applyAlignment="1">
      <alignment horizontal="center" vertical="center"/>
    </xf>
    <xf numFmtId="0" fontId="4" fillId="9" borderId="15" xfId="0" applyFont="1" applyFill="1" applyBorder="1" applyAlignment="1">
      <alignment horizontal="center" vertical="center"/>
    </xf>
    <xf numFmtId="3" fontId="7" fillId="7" borderId="15" xfId="0" applyNumberFormat="1" applyFont="1" applyFill="1" applyBorder="1" applyAlignment="1">
      <alignment horizontal="center" vertical="center"/>
    </xf>
    <xf numFmtId="0" fontId="4" fillId="10" borderId="16" xfId="0" applyFont="1" applyFill="1" applyBorder="1" applyAlignment="1">
      <alignment horizontal="center" vertical="center"/>
    </xf>
    <xf numFmtId="164" fontId="8" fillId="7" borderId="16" xfId="0" applyNumberFormat="1" applyFont="1" applyFill="1" applyBorder="1" applyAlignment="1">
      <alignment horizontal="center" vertical="center"/>
    </xf>
    <xf numFmtId="0" fontId="4" fillId="11" borderId="17" xfId="0"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PERFORMANCE DASHBOARD.xlsm]Pivot!PT_Monthly</c:name>
    <c:fmtId val="0"/>
  </c:pivotSource>
  <c:chart>
    <c:title>
      <c:tx>
        <c:rich>
          <a:bodyPr/>
          <a:lstStyle/>
          <a:p>
            <a:pPr>
              <a:defRPr sz="1600" b="1">
                <a:solidFill>
                  <a:srgbClr val="1F497D"/>
                </a:solidFill>
                <a:latin typeface="Calibri"/>
                <a:ea typeface="Calibri"/>
                <a:cs typeface="Calibri"/>
              </a:defRPr>
            </a:pPr>
            <a:r>
              <a:rPr lang="en-IN"/>
              <a:t>Revenue &amp; Profit</a:t>
            </a:r>
          </a:p>
        </c:rich>
      </c:tx>
      <c:overlay val="0"/>
    </c:title>
    <c:autoTitleDeleted val="0"/>
    <c:pivotFmts>
      <c:pivotFmt>
        <c:idx val="0"/>
        <c:spPr>
          <a:ln w="25400">
            <a:solidFill>
              <a:srgbClr val="2962B5"/>
            </a:solidFill>
          </a:ln>
        </c:spPr>
        <c:marker>
          <c:symbol val="circle"/>
          <c:size val="5"/>
          <c:spPr>
            <a:solidFill>
              <a:srgbClr val="FFFFFF"/>
            </a:solidFill>
            <a:ln w="25400">
              <a:solidFill>
                <a:srgbClr val="2962B5"/>
              </a:solidFill>
              <a:prstDash val="solid"/>
            </a:ln>
          </c:spPr>
        </c:marker>
        <c:dLbl>
          <c:idx val="0"/>
          <c:delete val="1"/>
          <c:extLst>
            <c:ext xmlns:c15="http://schemas.microsoft.com/office/drawing/2012/chart" uri="{CE6537A1-D6FC-4f65-9D91-7224C49458BB}"/>
          </c:extLst>
        </c:dLbl>
      </c:pivotFmt>
      <c:pivotFmt>
        <c:idx val="1"/>
        <c:spPr>
          <a:ln w="25400">
            <a:solidFill>
              <a:srgbClr val="2EA064"/>
            </a:solidFill>
          </a:ln>
        </c:spPr>
        <c:marker>
          <c:symbol val="circle"/>
          <c:size val="5"/>
          <c:spPr>
            <a:solidFill>
              <a:srgbClr val="FFFFFF"/>
            </a:solidFill>
            <a:ln w="25400">
              <a:solidFill>
                <a:srgbClr val="2EA064"/>
              </a:solidFill>
              <a:prstDash val="solid"/>
            </a:ln>
          </c:spPr>
        </c:marker>
        <c:dLbl>
          <c:idx val="0"/>
          <c:delete val="1"/>
          <c:extLst>
            <c:ext xmlns:c15="http://schemas.microsoft.com/office/drawing/2012/chart" uri="{CE6537A1-D6FC-4f65-9D91-7224C49458BB}"/>
          </c:extLst>
        </c:dLbl>
      </c:pivotFmt>
      <c:pivotFmt>
        <c:idx val="2"/>
        <c:spPr>
          <a:ln w="25400">
            <a:solidFill>
              <a:srgbClr val="BE3C3C"/>
            </a:solidFill>
          </a:ln>
        </c:spPr>
        <c:marker>
          <c:symbol val="circle"/>
          <c:size val="5"/>
          <c:spPr>
            <a:solidFill>
              <a:srgbClr val="FFFFFF"/>
            </a:solidFill>
            <a:ln w="25400">
              <a:solidFill>
                <a:srgbClr val="BE3C3C"/>
              </a:solidFill>
              <a:prstDash val="solid"/>
            </a:ln>
          </c:spPr>
        </c:marker>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Pivot!$B$2:$B$3</c:f>
              <c:strCache>
                <c:ptCount val="1"/>
                <c:pt idx="0">
                  <c:v>Total Revenue</c:v>
                </c:pt>
              </c:strCache>
            </c:strRef>
          </c:tx>
          <c:spPr>
            <a:ln w="25400">
              <a:solidFill>
                <a:srgbClr val="2962B5"/>
              </a:solidFill>
            </a:ln>
          </c:spPr>
          <c:marker>
            <c:symbol val="circle"/>
            <c:size val="5"/>
            <c:spPr>
              <a:solidFill>
                <a:srgbClr val="FFFFFF"/>
              </a:solidFill>
              <a:ln w="25400">
                <a:solidFill>
                  <a:srgbClr val="2962B5"/>
                </a:solidFill>
                <a:prstDash val="solid"/>
              </a:ln>
            </c:spPr>
          </c:marker>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Pivot!$B$4:$B$16</c:f>
              <c:numCache>
                <c:formatCode>"₹"#,##0</c:formatCode>
                <c:ptCount val="12"/>
                <c:pt idx="0">
                  <c:v>90512</c:v>
                </c:pt>
                <c:pt idx="1">
                  <c:v>24736</c:v>
                </c:pt>
                <c:pt idx="2">
                  <c:v>84408</c:v>
                </c:pt>
                <c:pt idx="3">
                  <c:v>88759</c:v>
                </c:pt>
                <c:pt idx="4">
                  <c:v>80513</c:v>
                </c:pt>
                <c:pt idx="5">
                  <c:v>90008</c:v>
                </c:pt>
                <c:pt idx="6">
                  <c:v>62602</c:v>
                </c:pt>
                <c:pt idx="7">
                  <c:v>68856</c:v>
                </c:pt>
                <c:pt idx="8">
                  <c:v>86970</c:v>
                </c:pt>
                <c:pt idx="9">
                  <c:v>35874</c:v>
                </c:pt>
                <c:pt idx="10">
                  <c:v>28987</c:v>
                </c:pt>
                <c:pt idx="11">
                  <c:v>85156</c:v>
                </c:pt>
              </c:numCache>
            </c:numRef>
          </c:val>
          <c:smooth val="0"/>
          <c:extLst>
            <c:ext xmlns:c16="http://schemas.microsoft.com/office/drawing/2014/chart" uri="{C3380CC4-5D6E-409C-BE32-E72D297353CC}">
              <c16:uniqueId val="{00000001-9116-4962-A7DE-79CA3A46369C}"/>
            </c:ext>
          </c:extLst>
        </c:ser>
        <c:ser>
          <c:idx val="1"/>
          <c:order val="1"/>
          <c:tx>
            <c:strRef>
              <c:f>Pivot!$C$2:$C$3</c:f>
              <c:strCache>
                <c:ptCount val="1"/>
                <c:pt idx="0">
                  <c:v>Total Profit</c:v>
                </c:pt>
              </c:strCache>
            </c:strRef>
          </c:tx>
          <c:spPr>
            <a:ln w="25400">
              <a:solidFill>
                <a:srgbClr val="2EA064"/>
              </a:solidFill>
            </a:ln>
          </c:spPr>
          <c:marker>
            <c:symbol val="circle"/>
            <c:size val="5"/>
            <c:spPr>
              <a:solidFill>
                <a:srgbClr val="FFFFFF"/>
              </a:solidFill>
              <a:ln w="25400">
                <a:solidFill>
                  <a:srgbClr val="2EA064"/>
                </a:solidFill>
                <a:prstDash val="solid"/>
              </a:ln>
            </c:spPr>
          </c:marker>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Pivot!$C$4:$C$16</c:f>
              <c:numCache>
                <c:formatCode>"₹"#,##0</c:formatCode>
                <c:ptCount val="12"/>
                <c:pt idx="0">
                  <c:v>67034</c:v>
                </c:pt>
                <c:pt idx="1">
                  <c:v>15874</c:v>
                </c:pt>
                <c:pt idx="2">
                  <c:v>55519</c:v>
                </c:pt>
                <c:pt idx="3">
                  <c:v>58833</c:v>
                </c:pt>
                <c:pt idx="4">
                  <c:v>53328</c:v>
                </c:pt>
                <c:pt idx="5">
                  <c:v>52676</c:v>
                </c:pt>
                <c:pt idx="6">
                  <c:v>40259</c:v>
                </c:pt>
                <c:pt idx="7">
                  <c:v>43844</c:v>
                </c:pt>
                <c:pt idx="8">
                  <c:v>54299</c:v>
                </c:pt>
                <c:pt idx="9">
                  <c:v>20701</c:v>
                </c:pt>
                <c:pt idx="10">
                  <c:v>21828</c:v>
                </c:pt>
                <c:pt idx="11">
                  <c:v>49474</c:v>
                </c:pt>
              </c:numCache>
            </c:numRef>
          </c:val>
          <c:smooth val="0"/>
          <c:extLst>
            <c:ext xmlns:c16="http://schemas.microsoft.com/office/drawing/2014/chart" uri="{C3380CC4-5D6E-409C-BE32-E72D297353CC}">
              <c16:uniqueId val="{00000002-9116-4962-A7DE-79CA3A46369C}"/>
            </c:ext>
          </c:extLst>
        </c:ser>
        <c:ser>
          <c:idx val="2"/>
          <c:order val="2"/>
          <c:tx>
            <c:strRef>
              <c:f>Pivot!$D$2:$D$3</c:f>
              <c:strCache>
                <c:ptCount val="1"/>
                <c:pt idx="0">
                  <c:v>Total Expenses</c:v>
                </c:pt>
              </c:strCache>
            </c:strRef>
          </c:tx>
          <c:spPr>
            <a:ln w="25400">
              <a:solidFill>
                <a:srgbClr val="BE3C3C"/>
              </a:solidFill>
            </a:ln>
          </c:spPr>
          <c:marker>
            <c:symbol val="circle"/>
            <c:size val="5"/>
            <c:spPr>
              <a:solidFill>
                <a:srgbClr val="FFFFFF"/>
              </a:solidFill>
              <a:ln w="25400">
                <a:solidFill>
                  <a:srgbClr val="BE3C3C"/>
                </a:solidFill>
                <a:prstDash val="solid"/>
              </a:ln>
            </c:spPr>
          </c:marker>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Pivot!$D$4:$D$16</c:f>
              <c:numCache>
                <c:formatCode>"₹"#,##0</c:formatCode>
                <c:ptCount val="12"/>
                <c:pt idx="0">
                  <c:v>23478</c:v>
                </c:pt>
                <c:pt idx="1">
                  <c:v>8862</c:v>
                </c:pt>
                <c:pt idx="2">
                  <c:v>28889</c:v>
                </c:pt>
                <c:pt idx="3">
                  <c:v>29926</c:v>
                </c:pt>
                <c:pt idx="4">
                  <c:v>27185</c:v>
                </c:pt>
                <c:pt idx="5">
                  <c:v>37332</c:v>
                </c:pt>
                <c:pt idx="6">
                  <c:v>22343</c:v>
                </c:pt>
                <c:pt idx="7">
                  <c:v>25012</c:v>
                </c:pt>
                <c:pt idx="8">
                  <c:v>32671</c:v>
                </c:pt>
                <c:pt idx="9">
                  <c:v>15173</c:v>
                </c:pt>
                <c:pt idx="10">
                  <c:v>7159</c:v>
                </c:pt>
                <c:pt idx="11">
                  <c:v>35682</c:v>
                </c:pt>
              </c:numCache>
            </c:numRef>
          </c:val>
          <c:smooth val="0"/>
          <c:extLst>
            <c:ext xmlns:c16="http://schemas.microsoft.com/office/drawing/2014/chart" uri="{C3380CC4-5D6E-409C-BE32-E72D297353CC}">
              <c16:uniqueId val="{00000003-9116-4962-A7DE-79CA3A46369C}"/>
            </c:ext>
          </c:extLst>
        </c:ser>
        <c:ser>
          <c:idx val="3"/>
          <c:order val="3"/>
          <c:tx>
            <c:strRef>
              <c:f>Pivot!$E$2:$E$3</c:f>
              <c:strCache>
                <c:ptCount val="1"/>
                <c:pt idx="0">
                  <c:v>UnitsSold</c:v>
                </c:pt>
              </c:strCache>
            </c:strRef>
          </c:tx>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Pivot!$E$4:$E$16</c:f>
              <c:numCache>
                <c:formatCode>#,##0</c:formatCode>
                <c:ptCount val="12"/>
                <c:pt idx="0">
                  <c:v>294</c:v>
                </c:pt>
                <c:pt idx="1">
                  <c:v>118</c:v>
                </c:pt>
                <c:pt idx="2">
                  <c:v>297</c:v>
                </c:pt>
                <c:pt idx="3">
                  <c:v>326</c:v>
                </c:pt>
                <c:pt idx="4">
                  <c:v>294</c:v>
                </c:pt>
                <c:pt idx="5">
                  <c:v>301</c:v>
                </c:pt>
                <c:pt idx="6">
                  <c:v>190</c:v>
                </c:pt>
                <c:pt idx="7">
                  <c:v>275</c:v>
                </c:pt>
                <c:pt idx="8">
                  <c:v>293</c:v>
                </c:pt>
                <c:pt idx="9">
                  <c:v>95</c:v>
                </c:pt>
                <c:pt idx="10">
                  <c:v>81</c:v>
                </c:pt>
                <c:pt idx="11">
                  <c:v>416</c:v>
                </c:pt>
              </c:numCache>
            </c:numRef>
          </c:val>
          <c:smooth val="0"/>
          <c:extLst>
            <c:ext xmlns:c16="http://schemas.microsoft.com/office/drawing/2014/chart" uri="{C3380CC4-5D6E-409C-BE32-E72D297353CC}">
              <c16:uniqueId val="{00000005-9116-4962-A7DE-79CA3A46369C}"/>
            </c:ext>
          </c:extLst>
        </c:ser>
        <c:dLbls>
          <c:showLegendKey val="0"/>
          <c:showVal val="0"/>
          <c:showCatName val="0"/>
          <c:showSerName val="0"/>
          <c:showPercent val="0"/>
          <c:showBubbleSize val="0"/>
        </c:dLbls>
        <c:marker val="1"/>
        <c:smooth val="0"/>
        <c:axId val="1901471216"/>
        <c:axId val="1901468336"/>
      </c:lineChart>
      <c:catAx>
        <c:axId val="1901471216"/>
        <c:scaling>
          <c:orientation val="minMax"/>
        </c:scaling>
        <c:delete val="1"/>
        <c:axPos val="b"/>
        <c:numFmt formatCode="General" sourceLinked="1"/>
        <c:majorTickMark val="out"/>
        <c:minorTickMark val="none"/>
        <c:tickLblPos val="nextTo"/>
        <c:crossAx val="1901468336"/>
        <c:crosses val="autoZero"/>
        <c:auto val="1"/>
        <c:lblAlgn val="ctr"/>
        <c:lblOffset val="100"/>
        <c:noMultiLvlLbl val="0"/>
      </c:catAx>
      <c:valAx>
        <c:axId val="1901468336"/>
        <c:scaling>
          <c:orientation val="minMax"/>
        </c:scaling>
        <c:delete val="0"/>
        <c:axPos val="l"/>
        <c:numFmt formatCode="&quot;₹&quot;#,##0" sourceLinked="1"/>
        <c:majorTickMark val="out"/>
        <c:minorTickMark val="none"/>
        <c:tickLblPos val="nextTo"/>
        <c:txPr>
          <a:bodyPr/>
          <a:lstStyle/>
          <a:p>
            <a:pPr>
              <a:defRPr sz="900">
                <a:latin typeface="Calibri"/>
                <a:ea typeface="Calibri"/>
                <a:cs typeface="Calibri"/>
              </a:defRPr>
            </a:pPr>
            <a:endParaRPr lang="en-US"/>
          </a:p>
        </c:txPr>
        <c:crossAx val="1901471216"/>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b"/>
      <c:layout>
        <c:manualLayout>
          <c:xMode val="edge"/>
          <c:yMode val="edge"/>
          <c:x val="1.3887964520460452E-2"/>
          <c:y val="0.86512191701228192"/>
          <c:w val="0.95000002532516248"/>
          <c:h val="0.10434373184267998"/>
        </c:manualLayout>
      </c:layout>
      <c:overlay val="0"/>
      <c:txPr>
        <a:bodyPr/>
        <a:lstStyle/>
        <a:p>
          <a:pPr>
            <a:defRPr sz="12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PERFORMANCE DASHBOARD.xlsm]Pivot!PT_Category</c:name>
    <c:fmtId val="0"/>
  </c:pivotSource>
  <c:chart>
    <c:title>
      <c:tx>
        <c:rich>
          <a:bodyPr/>
          <a:lstStyle/>
          <a:p>
            <a:pPr>
              <a:defRPr sz="1600" b="1">
                <a:solidFill>
                  <a:srgbClr val="1F497D"/>
                </a:solidFill>
                <a:latin typeface="Calibri"/>
                <a:ea typeface="Calibri"/>
                <a:cs typeface="Calibri"/>
              </a:defRPr>
            </a:pPr>
            <a:r>
              <a:rPr lang="en-US"/>
              <a:t>Revenue by Category</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sz="1200" b="1">
                  <a:solidFill>
                    <a:srgbClr val="FFFFFF"/>
                  </a:solidFill>
                  <a:latin typeface="Calibri"/>
                  <a:ea typeface="Calibri"/>
                  <a:cs typeface="Calibri"/>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marker>
          <c:symbol val="none"/>
        </c:marker>
        <c:dLbl>
          <c:idx val="0"/>
          <c:delete val="1"/>
          <c:extLst>
            <c:ext xmlns:c15="http://schemas.microsoft.com/office/drawing/2012/chart" uri="{CE6537A1-D6FC-4f65-9D91-7224C49458BB}"/>
          </c:extLst>
        </c:dLbl>
      </c:pivotFmt>
      <c:pivotFmt>
        <c:idx val="2"/>
        <c:spPr>
          <a:solidFill>
            <a:srgbClr val="2962B5"/>
          </a:solidFill>
        </c:spPr>
      </c:pivotFmt>
      <c:pivotFmt>
        <c:idx val="3"/>
        <c:spPr>
          <a:solidFill>
            <a:srgbClr val="2EA064"/>
          </a:solidFill>
        </c:spPr>
      </c:pivotFmt>
      <c:pivotFmt>
        <c:idx val="4"/>
        <c:spPr>
          <a:solidFill>
            <a:srgbClr val="BE3C3C"/>
          </a:solidFill>
        </c:spPr>
      </c:pivotFmt>
      <c:pivotFmt>
        <c:idx val="5"/>
        <c:spPr>
          <a:solidFill>
            <a:srgbClr val="E6821E"/>
          </a:solidFill>
        </c:spPr>
      </c:pivotFmt>
    </c:pivotFmts>
    <c:plotArea>
      <c:layout>
        <c:manualLayout>
          <c:xMode val="edge"/>
          <c:yMode val="edge"/>
          <c:x val="0.31181226355795233"/>
          <c:y val="0.21361343190879767"/>
          <c:w val="0.42765153184309951"/>
          <c:h val="0.67666157760814249"/>
        </c:manualLayout>
      </c:layout>
      <c:pieChart>
        <c:varyColors val="1"/>
        <c:ser>
          <c:idx val="0"/>
          <c:order val="0"/>
          <c:tx>
            <c:strRef>
              <c:f>Pivot!$H$2:$H$3</c:f>
              <c:strCache>
                <c:ptCount val="1"/>
                <c:pt idx="0">
                  <c:v>Total Revenue</c:v>
                </c:pt>
              </c:strCache>
            </c:strRef>
          </c:tx>
          <c:dPt>
            <c:idx val="0"/>
            <c:bubble3D val="0"/>
            <c:spPr>
              <a:solidFill>
                <a:srgbClr val="2962B5"/>
              </a:solidFill>
            </c:spPr>
            <c:extLst>
              <c:ext xmlns:c16="http://schemas.microsoft.com/office/drawing/2014/chart" uri="{C3380CC4-5D6E-409C-BE32-E72D297353CC}">
                <c16:uniqueId val="{00000003-4249-44C5-8FFC-31D4BEC95680}"/>
              </c:ext>
            </c:extLst>
          </c:dPt>
          <c:dPt>
            <c:idx val="1"/>
            <c:bubble3D val="0"/>
            <c:spPr>
              <a:solidFill>
                <a:srgbClr val="2EA064"/>
              </a:solidFill>
            </c:spPr>
            <c:extLst>
              <c:ext xmlns:c16="http://schemas.microsoft.com/office/drawing/2014/chart" uri="{C3380CC4-5D6E-409C-BE32-E72D297353CC}">
                <c16:uniqueId val="{00000004-4249-44C5-8FFC-31D4BEC95680}"/>
              </c:ext>
            </c:extLst>
          </c:dPt>
          <c:dPt>
            <c:idx val="2"/>
            <c:bubble3D val="0"/>
            <c:spPr>
              <a:solidFill>
                <a:srgbClr val="BE3C3C"/>
              </a:solidFill>
            </c:spPr>
            <c:extLst>
              <c:ext xmlns:c16="http://schemas.microsoft.com/office/drawing/2014/chart" uri="{C3380CC4-5D6E-409C-BE32-E72D297353CC}">
                <c16:uniqueId val="{00000005-4249-44C5-8FFC-31D4BEC95680}"/>
              </c:ext>
            </c:extLst>
          </c:dPt>
          <c:dPt>
            <c:idx val="3"/>
            <c:bubble3D val="0"/>
            <c:spPr>
              <a:solidFill>
                <a:srgbClr val="E6821E"/>
              </a:solidFill>
            </c:spPr>
            <c:extLst>
              <c:ext xmlns:c16="http://schemas.microsoft.com/office/drawing/2014/chart" uri="{C3380CC4-5D6E-409C-BE32-E72D297353CC}">
                <c16:uniqueId val="{00000006-4249-44C5-8FFC-31D4BEC95680}"/>
              </c:ext>
            </c:extLst>
          </c:dPt>
          <c:dLbls>
            <c:spPr>
              <a:noFill/>
              <a:ln>
                <a:noFill/>
              </a:ln>
              <a:effectLst/>
            </c:spPr>
            <c:txPr>
              <a:bodyPr wrap="square" lIns="38100" tIns="19050" rIns="38100" bIns="19050" anchor="ctr">
                <a:spAutoFit/>
              </a:bodyPr>
              <a:lstStyle/>
              <a:p>
                <a:pPr>
                  <a:defRPr sz="1200" b="1">
                    <a:solidFill>
                      <a:srgbClr val="FFFFFF"/>
                    </a:solidFill>
                    <a:latin typeface="Calibri"/>
                    <a:ea typeface="Calibri"/>
                    <a:cs typeface="Calibri"/>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Pivot!$G$4:$G$8</c:f>
              <c:strCache>
                <c:ptCount val="4"/>
                <c:pt idx="0">
                  <c:v>Accessories</c:v>
                </c:pt>
                <c:pt idx="1">
                  <c:v>Clothing</c:v>
                </c:pt>
                <c:pt idx="2">
                  <c:v>Electronics</c:v>
                </c:pt>
                <c:pt idx="3">
                  <c:v>Footwear</c:v>
                </c:pt>
              </c:strCache>
            </c:strRef>
          </c:cat>
          <c:val>
            <c:numRef>
              <c:f>Pivot!$H$4:$H$8</c:f>
              <c:numCache>
                <c:formatCode>"₹"#,##0</c:formatCode>
                <c:ptCount val="4"/>
                <c:pt idx="0">
                  <c:v>98313</c:v>
                </c:pt>
                <c:pt idx="1">
                  <c:v>234196</c:v>
                </c:pt>
                <c:pt idx="2">
                  <c:v>409815</c:v>
                </c:pt>
                <c:pt idx="3">
                  <c:v>85057</c:v>
                </c:pt>
              </c:numCache>
            </c:numRef>
          </c:val>
          <c:extLst>
            <c:ext xmlns:c16="http://schemas.microsoft.com/office/drawing/2014/chart" uri="{C3380CC4-5D6E-409C-BE32-E72D297353CC}">
              <c16:uniqueId val="{00000001-4249-44C5-8FFC-31D4BEC95680}"/>
            </c:ext>
          </c:extLst>
        </c:ser>
        <c:ser>
          <c:idx val="1"/>
          <c:order val="1"/>
          <c:tx>
            <c:strRef>
              <c:f>Pivot!$I$2:$I$3</c:f>
              <c:strCache>
                <c:ptCount val="1"/>
                <c:pt idx="0">
                  <c:v>Total Profit</c:v>
                </c:pt>
              </c:strCache>
            </c:strRef>
          </c:tx>
          <c:cat>
            <c:strRef>
              <c:f>Pivot!$G$4:$G$8</c:f>
              <c:strCache>
                <c:ptCount val="4"/>
                <c:pt idx="0">
                  <c:v>Accessories</c:v>
                </c:pt>
                <c:pt idx="1">
                  <c:v>Clothing</c:v>
                </c:pt>
                <c:pt idx="2">
                  <c:v>Electronics</c:v>
                </c:pt>
                <c:pt idx="3">
                  <c:v>Footwear</c:v>
                </c:pt>
              </c:strCache>
            </c:strRef>
          </c:cat>
          <c:val>
            <c:numRef>
              <c:f>Pivot!$I$4:$I$8</c:f>
              <c:numCache>
                <c:formatCode>"₹"#,##0</c:formatCode>
                <c:ptCount val="4"/>
                <c:pt idx="0">
                  <c:v>64224</c:v>
                </c:pt>
                <c:pt idx="1">
                  <c:v>160426</c:v>
                </c:pt>
                <c:pt idx="2">
                  <c:v>249432</c:v>
                </c:pt>
                <c:pt idx="3">
                  <c:v>59587</c:v>
                </c:pt>
              </c:numCache>
            </c:numRef>
          </c:val>
          <c:extLst>
            <c:ext xmlns:c16="http://schemas.microsoft.com/office/drawing/2014/chart" uri="{C3380CC4-5D6E-409C-BE32-E72D297353CC}">
              <c16:uniqueId val="{00000002-4249-44C5-8FFC-31D4BEC95680}"/>
            </c:ext>
          </c:extLst>
        </c:ser>
        <c:dLbls>
          <c:showLegendKey val="0"/>
          <c:showVal val="0"/>
          <c:showCatName val="0"/>
          <c:showSerName val="0"/>
          <c:showPercent val="0"/>
          <c:showBubbleSize val="0"/>
          <c:showLeaderLines val="0"/>
        </c:dLbls>
        <c:firstSliceAng val="0"/>
      </c:pieChart>
      <c:spPr>
        <a:noFill/>
        <a:extLst>
          <a:ext uri="{909E8E84-426E-40DD-AFC4-6F175D3DCCD1}">
            <a14:hiddenFill xmlns:a14="http://schemas.microsoft.com/office/drawing/2010/main">
              <a:noFill/>
            </a14:hiddenFill>
          </a:ext>
        </a:extLst>
      </c:spPr>
    </c:plotArea>
    <c:legend>
      <c:legendPos val="b"/>
      <c:overlay val="0"/>
      <c:txPr>
        <a:bodyPr/>
        <a:lstStyle/>
        <a:p>
          <a:pPr>
            <a:defRPr sz="12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PERFORMANCE DASHBOARD.xlsm]Pivot!PT_Product</c:name>
    <c:fmtId val="0"/>
  </c:pivotSource>
  <c:chart>
    <c:title>
      <c:tx>
        <c:rich>
          <a:bodyPr/>
          <a:lstStyle/>
          <a:p>
            <a:pPr>
              <a:defRPr sz="1600" b="1">
                <a:solidFill>
                  <a:srgbClr val="1F497D"/>
                </a:solidFill>
                <a:latin typeface="Calibri"/>
                <a:ea typeface="Calibri"/>
                <a:cs typeface="Calibri"/>
              </a:defRPr>
            </a:pPr>
            <a:r>
              <a:rPr lang="en-IN"/>
              <a:t>Revenue by Product</a:t>
            </a:r>
          </a:p>
        </c:rich>
      </c:tx>
      <c:overlay val="0"/>
    </c:title>
    <c:autoTitleDeleted val="0"/>
    <c:pivotFmts>
      <c:pivotFmt>
        <c:idx val="0"/>
        <c:spPr>
          <a:solidFill>
            <a:srgbClr val="2962B5"/>
          </a:solidFill>
        </c:spPr>
        <c:marker>
          <c:symbol val="none"/>
        </c:marker>
        <c:dLbl>
          <c:idx val="0"/>
          <c:delete val="1"/>
          <c:extLst>
            <c:ext xmlns:c15="http://schemas.microsoft.com/office/drawing/2012/chart" uri="{CE6537A1-D6FC-4f65-9D91-7224C49458BB}"/>
          </c:extLst>
        </c:dLbl>
      </c:pivotFmt>
      <c:pivotFmt>
        <c:idx val="1"/>
        <c:spPr>
          <a:solidFill>
            <a:srgbClr val="2EA064"/>
          </a:solidFill>
        </c:spPr>
        <c:marker>
          <c:symbol val="none"/>
        </c:marker>
        <c:dLbl>
          <c:idx val="0"/>
          <c:delete val="1"/>
          <c:extLst>
            <c:ext xmlns:c15="http://schemas.microsoft.com/office/drawing/2012/chart" uri="{CE6537A1-D6FC-4f65-9D91-7224C49458BB}"/>
          </c:extLst>
        </c:dLbl>
      </c:pivotFmt>
      <c:pivotFmt>
        <c:idx val="2"/>
        <c:marker>
          <c:symbol val="none"/>
        </c:marker>
        <c:dLbl>
          <c:idx val="0"/>
          <c:delete val="1"/>
          <c:extLst>
            <c:ext xmlns:c15="http://schemas.microsoft.com/office/drawing/2012/chart" uri="{CE6537A1-D6FC-4f65-9D91-7224C49458BB}"/>
          </c:extLst>
        </c:dLbl>
      </c:pivotFmt>
    </c:pivotFmts>
    <c:plotArea>
      <c:layout/>
      <c:barChart>
        <c:barDir val="bar"/>
        <c:grouping val="clustered"/>
        <c:varyColors val="0"/>
        <c:ser>
          <c:idx val="0"/>
          <c:order val="0"/>
          <c:tx>
            <c:strRef>
              <c:f>Pivot!$L$2:$L$3</c:f>
              <c:strCache>
                <c:ptCount val="1"/>
                <c:pt idx="0">
                  <c:v>Total Revenue</c:v>
                </c:pt>
              </c:strCache>
            </c:strRef>
          </c:tx>
          <c:spPr>
            <a:solidFill>
              <a:srgbClr val="2962B5"/>
            </a:solidFill>
          </c:spPr>
          <c:invertIfNegative val="0"/>
          <c:cat>
            <c:strRef>
              <c:f>Pivot!$K$4:$K$11</c:f>
              <c:strCache>
                <c:ptCount val="7"/>
                <c:pt idx="0">
                  <c:v>Bluetooth Speaker</c:v>
                </c:pt>
                <c:pt idx="1">
                  <c:v>Laptop Stand</c:v>
                </c:pt>
                <c:pt idx="2">
                  <c:v>Running Shoes</c:v>
                </c:pt>
                <c:pt idx="3">
                  <c:v>Track Jacket</c:v>
                </c:pt>
                <c:pt idx="4">
                  <c:v>USB-C Cable</c:v>
                </c:pt>
                <c:pt idx="5">
                  <c:v>Wireless Mouse</c:v>
                </c:pt>
                <c:pt idx="6">
                  <c:v>Yoga Pants</c:v>
                </c:pt>
              </c:strCache>
            </c:strRef>
          </c:cat>
          <c:val>
            <c:numRef>
              <c:f>Pivot!$L$4:$L$11</c:f>
              <c:numCache>
                <c:formatCode>"₹"#,##0</c:formatCode>
                <c:ptCount val="7"/>
                <c:pt idx="0">
                  <c:v>137099</c:v>
                </c:pt>
                <c:pt idx="1">
                  <c:v>98313</c:v>
                </c:pt>
                <c:pt idx="2">
                  <c:v>85057</c:v>
                </c:pt>
                <c:pt idx="3">
                  <c:v>70588</c:v>
                </c:pt>
                <c:pt idx="4">
                  <c:v>88607</c:v>
                </c:pt>
                <c:pt idx="5">
                  <c:v>184109</c:v>
                </c:pt>
                <c:pt idx="6">
                  <c:v>163608</c:v>
                </c:pt>
              </c:numCache>
            </c:numRef>
          </c:val>
          <c:extLst>
            <c:ext xmlns:c16="http://schemas.microsoft.com/office/drawing/2014/chart" uri="{C3380CC4-5D6E-409C-BE32-E72D297353CC}">
              <c16:uniqueId val="{00000001-A42B-4063-B6B5-7BE7DE0B3411}"/>
            </c:ext>
          </c:extLst>
        </c:ser>
        <c:ser>
          <c:idx val="1"/>
          <c:order val="1"/>
          <c:tx>
            <c:strRef>
              <c:f>Pivot!$M$2:$M$3</c:f>
              <c:strCache>
                <c:ptCount val="1"/>
                <c:pt idx="0">
                  <c:v>Total Profit</c:v>
                </c:pt>
              </c:strCache>
            </c:strRef>
          </c:tx>
          <c:spPr>
            <a:solidFill>
              <a:srgbClr val="2EA064"/>
            </a:solidFill>
          </c:spPr>
          <c:invertIfNegative val="0"/>
          <c:cat>
            <c:strRef>
              <c:f>Pivot!$K$4:$K$11</c:f>
              <c:strCache>
                <c:ptCount val="7"/>
                <c:pt idx="0">
                  <c:v>Bluetooth Speaker</c:v>
                </c:pt>
                <c:pt idx="1">
                  <c:v>Laptop Stand</c:v>
                </c:pt>
                <c:pt idx="2">
                  <c:v>Running Shoes</c:v>
                </c:pt>
                <c:pt idx="3">
                  <c:v>Track Jacket</c:v>
                </c:pt>
                <c:pt idx="4">
                  <c:v>USB-C Cable</c:v>
                </c:pt>
                <c:pt idx="5">
                  <c:v>Wireless Mouse</c:v>
                </c:pt>
                <c:pt idx="6">
                  <c:v>Yoga Pants</c:v>
                </c:pt>
              </c:strCache>
            </c:strRef>
          </c:cat>
          <c:val>
            <c:numRef>
              <c:f>Pivot!$M$4:$M$11</c:f>
              <c:numCache>
                <c:formatCode>"₹"#,##0</c:formatCode>
                <c:ptCount val="7"/>
                <c:pt idx="0">
                  <c:v>85222</c:v>
                </c:pt>
                <c:pt idx="1">
                  <c:v>64224</c:v>
                </c:pt>
                <c:pt idx="2">
                  <c:v>59587</c:v>
                </c:pt>
                <c:pt idx="3">
                  <c:v>46544</c:v>
                </c:pt>
                <c:pt idx="4">
                  <c:v>54390</c:v>
                </c:pt>
                <c:pt idx="5">
                  <c:v>109820</c:v>
                </c:pt>
                <c:pt idx="6">
                  <c:v>113882</c:v>
                </c:pt>
              </c:numCache>
            </c:numRef>
          </c:val>
          <c:extLst>
            <c:ext xmlns:c16="http://schemas.microsoft.com/office/drawing/2014/chart" uri="{C3380CC4-5D6E-409C-BE32-E72D297353CC}">
              <c16:uniqueId val="{00000002-A42B-4063-B6B5-7BE7DE0B3411}"/>
            </c:ext>
          </c:extLst>
        </c:ser>
        <c:ser>
          <c:idx val="2"/>
          <c:order val="2"/>
          <c:tx>
            <c:strRef>
              <c:f>Pivot!$N$2:$N$3</c:f>
              <c:strCache>
                <c:ptCount val="1"/>
                <c:pt idx="0">
                  <c:v>UnitsSold</c:v>
                </c:pt>
              </c:strCache>
            </c:strRef>
          </c:tx>
          <c:invertIfNegative val="0"/>
          <c:cat>
            <c:strRef>
              <c:f>Pivot!$K$4:$K$11</c:f>
              <c:strCache>
                <c:ptCount val="7"/>
                <c:pt idx="0">
                  <c:v>Bluetooth Speaker</c:v>
                </c:pt>
                <c:pt idx="1">
                  <c:v>Laptop Stand</c:v>
                </c:pt>
                <c:pt idx="2">
                  <c:v>Running Shoes</c:v>
                </c:pt>
                <c:pt idx="3">
                  <c:v>Track Jacket</c:v>
                </c:pt>
                <c:pt idx="4">
                  <c:v>USB-C Cable</c:v>
                </c:pt>
                <c:pt idx="5">
                  <c:v>Wireless Mouse</c:v>
                </c:pt>
                <c:pt idx="6">
                  <c:v>Yoga Pants</c:v>
                </c:pt>
              </c:strCache>
            </c:strRef>
          </c:cat>
          <c:val>
            <c:numRef>
              <c:f>Pivot!$N$4:$N$11</c:f>
              <c:numCache>
                <c:formatCode>#,##0</c:formatCode>
                <c:ptCount val="7"/>
                <c:pt idx="0">
                  <c:v>517</c:v>
                </c:pt>
                <c:pt idx="1">
                  <c:v>370</c:v>
                </c:pt>
                <c:pt idx="2">
                  <c:v>349</c:v>
                </c:pt>
                <c:pt idx="3">
                  <c:v>224</c:v>
                </c:pt>
                <c:pt idx="4">
                  <c:v>395</c:v>
                </c:pt>
                <c:pt idx="5">
                  <c:v>571</c:v>
                </c:pt>
                <c:pt idx="6">
                  <c:v>554</c:v>
                </c:pt>
              </c:numCache>
            </c:numRef>
          </c:val>
          <c:extLst>
            <c:ext xmlns:c16="http://schemas.microsoft.com/office/drawing/2014/chart" uri="{C3380CC4-5D6E-409C-BE32-E72D297353CC}">
              <c16:uniqueId val="{00000004-A42B-4063-B6B5-7BE7DE0B3411}"/>
            </c:ext>
          </c:extLst>
        </c:ser>
        <c:dLbls>
          <c:showLegendKey val="0"/>
          <c:showVal val="0"/>
          <c:showCatName val="0"/>
          <c:showSerName val="0"/>
          <c:showPercent val="0"/>
          <c:showBubbleSize val="0"/>
        </c:dLbls>
        <c:gapWidth val="0"/>
        <c:axId val="1893511472"/>
        <c:axId val="1893512912"/>
      </c:barChart>
      <c:catAx>
        <c:axId val="1893511472"/>
        <c:scaling>
          <c:orientation val="minMax"/>
        </c:scaling>
        <c:delete val="0"/>
        <c:axPos val="l"/>
        <c:numFmt formatCode="General" sourceLinked="1"/>
        <c:majorTickMark val="out"/>
        <c:minorTickMark val="none"/>
        <c:tickLblPos val="nextTo"/>
        <c:txPr>
          <a:bodyPr/>
          <a:lstStyle/>
          <a:p>
            <a:pPr>
              <a:defRPr sz="900">
                <a:latin typeface="Calibri"/>
                <a:ea typeface="Calibri"/>
                <a:cs typeface="Calibri"/>
              </a:defRPr>
            </a:pPr>
            <a:endParaRPr lang="en-US"/>
          </a:p>
        </c:txPr>
        <c:crossAx val="1893512912"/>
        <c:crosses val="autoZero"/>
        <c:auto val="1"/>
        <c:lblAlgn val="ctr"/>
        <c:lblOffset val="100"/>
        <c:noMultiLvlLbl val="0"/>
      </c:catAx>
      <c:valAx>
        <c:axId val="1893512912"/>
        <c:scaling>
          <c:orientation val="minMax"/>
        </c:scaling>
        <c:delete val="1"/>
        <c:axPos val="b"/>
        <c:numFmt formatCode="&quot;₹&quot;#,##0" sourceLinked="1"/>
        <c:majorTickMark val="out"/>
        <c:minorTickMark val="none"/>
        <c:tickLblPos val="nextTo"/>
        <c:crossAx val="1893511472"/>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b"/>
      <c:overlay val="0"/>
      <c:txPr>
        <a:bodyPr/>
        <a:lstStyle/>
        <a:p>
          <a:pPr>
            <a:defRPr sz="12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PERFORMANCE DASHBOARD.xlsm]Pivot!PT_Supplier</c:name>
    <c:fmtId val="0"/>
  </c:pivotSource>
  <c:chart>
    <c:title>
      <c:tx>
        <c:rich>
          <a:bodyPr/>
          <a:lstStyle/>
          <a:p>
            <a:pPr>
              <a:defRPr sz="1600" b="1">
                <a:solidFill>
                  <a:srgbClr val="1F497D"/>
                </a:solidFill>
                <a:latin typeface="Calibri"/>
                <a:ea typeface="Calibri"/>
                <a:cs typeface="Calibri"/>
              </a:defRPr>
            </a:pPr>
            <a:r>
              <a:rPr lang="en-IN"/>
              <a:t>Revenue by Supplier</a:t>
            </a:r>
          </a:p>
        </c:rich>
      </c:tx>
      <c:overlay val="0"/>
    </c:title>
    <c:autoTitleDeleted val="0"/>
    <c:pivotFmts>
      <c:pivotFmt>
        <c:idx val="0"/>
        <c:spPr>
          <a:solidFill>
            <a:srgbClr val="2962B5"/>
          </a:solidFill>
        </c:spPr>
        <c:marker>
          <c:symbol val="none"/>
        </c:marker>
        <c:dLbl>
          <c:idx val="0"/>
          <c:delete val="1"/>
          <c:extLst>
            <c:ext xmlns:c15="http://schemas.microsoft.com/office/drawing/2012/chart" uri="{CE6537A1-D6FC-4f65-9D91-7224C49458BB}"/>
          </c:extLst>
        </c:dLbl>
      </c:pivotFmt>
      <c:pivotFmt>
        <c:idx val="1"/>
        <c:spPr>
          <a:solidFill>
            <a:srgbClr val="2EA064"/>
          </a:solidFill>
        </c:spPr>
        <c:marker>
          <c:symbol val="none"/>
        </c:marker>
        <c:dLbl>
          <c:idx val="0"/>
          <c:delete val="1"/>
          <c:extLst>
            <c:ext xmlns:c15="http://schemas.microsoft.com/office/drawing/2012/chart" uri="{CE6537A1-D6FC-4f65-9D91-7224C49458BB}"/>
          </c:extLst>
        </c:dLbl>
      </c:pivotFmt>
    </c:pivotFmts>
    <c:plotArea>
      <c:layout/>
      <c:areaChart>
        <c:grouping val="standard"/>
        <c:varyColors val="0"/>
        <c:ser>
          <c:idx val="0"/>
          <c:order val="0"/>
          <c:tx>
            <c:strRef>
              <c:f>Pivot!$Q$2:$Q$3</c:f>
              <c:strCache>
                <c:ptCount val="1"/>
                <c:pt idx="0">
                  <c:v>Total Revenue</c:v>
                </c:pt>
              </c:strCache>
            </c:strRef>
          </c:tx>
          <c:spPr>
            <a:solidFill>
              <a:srgbClr val="2962B5"/>
            </a:solidFill>
          </c:spPr>
          <c:cat>
            <c:strRef>
              <c:f>Pivot!$P$4:$P$5</c:f>
              <c:strCache>
                <c:ptCount val="1"/>
                <c:pt idx="0">
                  <c:v>SoundX</c:v>
                </c:pt>
              </c:strCache>
            </c:strRef>
          </c:cat>
          <c:val>
            <c:numRef>
              <c:f>Pivot!$Q$4:$Q$5</c:f>
              <c:numCache>
                <c:formatCode>"₹"#,##0</c:formatCode>
                <c:ptCount val="1"/>
                <c:pt idx="0">
                  <c:v>827381</c:v>
                </c:pt>
              </c:numCache>
            </c:numRef>
          </c:val>
          <c:extLst>
            <c:ext xmlns:c16="http://schemas.microsoft.com/office/drawing/2014/chart" uri="{C3380CC4-5D6E-409C-BE32-E72D297353CC}">
              <c16:uniqueId val="{00000001-64E2-40D1-99A4-AD62AA95D91F}"/>
            </c:ext>
          </c:extLst>
        </c:ser>
        <c:ser>
          <c:idx val="1"/>
          <c:order val="1"/>
          <c:tx>
            <c:strRef>
              <c:f>Pivot!$R$2:$R$3</c:f>
              <c:strCache>
                <c:ptCount val="1"/>
                <c:pt idx="0">
                  <c:v>Total Profit</c:v>
                </c:pt>
              </c:strCache>
            </c:strRef>
          </c:tx>
          <c:spPr>
            <a:solidFill>
              <a:srgbClr val="2EA064"/>
            </a:solidFill>
          </c:spPr>
          <c:cat>
            <c:strRef>
              <c:f>Pivot!$P$4:$P$5</c:f>
              <c:strCache>
                <c:ptCount val="1"/>
                <c:pt idx="0">
                  <c:v>SoundX</c:v>
                </c:pt>
              </c:strCache>
            </c:strRef>
          </c:cat>
          <c:val>
            <c:numRef>
              <c:f>Pivot!$R$4:$R$5</c:f>
              <c:numCache>
                <c:formatCode>"₹"#,##0</c:formatCode>
                <c:ptCount val="1"/>
                <c:pt idx="0">
                  <c:v>533669</c:v>
                </c:pt>
              </c:numCache>
            </c:numRef>
          </c:val>
          <c:extLst>
            <c:ext xmlns:c16="http://schemas.microsoft.com/office/drawing/2014/chart" uri="{C3380CC4-5D6E-409C-BE32-E72D297353CC}">
              <c16:uniqueId val="{00000002-64E2-40D1-99A4-AD62AA95D91F}"/>
            </c:ext>
          </c:extLst>
        </c:ser>
        <c:dLbls>
          <c:showLegendKey val="0"/>
          <c:showVal val="0"/>
          <c:showCatName val="0"/>
          <c:showSerName val="0"/>
          <c:showPercent val="0"/>
          <c:showBubbleSize val="0"/>
        </c:dLbls>
        <c:axId val="1838114016"/>
        <c:axId val="1893508112"/>
      </c:areaChart>
      <c:catAx>
        <c:axId val="1838114016"/>
        <c:scaling>
          <c:orientation val="minMax"/>
        </c:scaling>
        <c:delete val="0"/>
        <c:axPos val="b"/>
        <c:numFmt formatCode="General" sourceLinked="1"/>
        <c:majorTickMark val="out"/>
        <c:minorTickMark val="none"/>
        <c:tickLblPos val="nextTo"/>
        <c:txPr>
          <a:bodyPr/>
          <a:lstStyle/>
          <a:p>
            <a:pPr>
              <a:defRPr sz="900">
                <a:latin typeface="Calibri"/>
                <a:ea typeface="Calibri"/>
                <a:cs typeface="Calibri"/>
              </a:defRPr>
            </a:pPr>
            <a:endParaRPr lang="en-US"/>
          </a:p>
        </c:txPr>
        <c:crossAx val="1893508112"/>
        <c:crosses val="autoZero"/>
        <c:auto val="1"/>
        <c:lblAlgn val="ctr"/>
        <c:lblOffset val="100"/>
        <c:noMultiLvlLbl val="0"/>
      </c:catAx>
      <c:valAx>
        <c:axId val="1893508112"/>
        <c:scaling>
          <c:orientation val="minMax"/>
        </c:scaling>
        <c:delete val="0"/>
        <c:axPos val="l"/>
        <c:numFmt formatCode="&quot;₹&quot;#,##0" sourceLinked="1"/>
        <c:majorTickMark val="out"/>
        <c:minorTickMark val="none"/>
        <c:tickLblPos val="nextTo"/>
        <c:txPr>
          <a:bodyPr/>
          <a:lstStyle/>
          <a:p>
            <a:pPr>
              <a:defRPr sz="900">
                <a:latin typeface="Calibri"/>
                <a:ea typeface="Calibri"/>
                <a:cs typeface="Calibri"/>
              </a:defRPr>
            </a:pPr>
            <a:endParaRPr lang="en-US"/>
          </a:p>
        </c:txPr>
        <c:crossAx val="1838114016"/>
        <c:crosses val="autoZero"/>
        <c:crossBetween val="midCat"/>
      </c:valAx>
      <c:spPr>
        <a:noFill/>
        <a:extLst>
          <a:ext uri="{909E8E84-426E-40DD-AFC4-6F175D3DCCD1}">
            <a14:hiddenFill xmlns:a14="http://schemas.microsoft.com/office/drawing/2010/main">
              <a:solidFill>
                <a:sysClr val="window" lastClr="FFFFFF"/>
              </a:solidFill>
            </a14:hiddenFill>
          </a:ext>
        </a:extLst>
      </c:spPr>
    </c:plotArea>
    <c:legend>
      <c:legendPos val="b"/>
      <c:overlay val="0"/>
      <c:txPr>
        <a:bodyPr/>
        <a:lstStyle/>
        <a:p>
          <a:pPr>
            <a:defRPr sz="12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PERFORMANCE DASHBOARD.xlsm]Pivot!PT_StockFlow</c:name>
    <c:fmtId val="0"/>
  </c:pivotSource>
  <c:chart>
    <c:title>
      <c:tx>
        <c:rich>
          <a:bodyPr/>
          <a:lstStyle/>
          <a:p>
            <a:pPr>
              <a:defRPr sz="1600" b="1">
                <a:solidFill>
                  <a:srgbClr val="1F497D"/>
                </a:solidFill>
                <a:latin typeface="Calibri"/>
                <a:ea typeface="Calibri"/>
                <a:cs typeface="Calibri"/>
              </a:defRPr>
            </a:pPr>
            <a:r>
              <a:rPr lang="en-IN"/>
              <a:t>Stock In vs Stock Out</a:t>
            </a:r>
          </a:p>
        </c:rich>
      </c:tx>
      <c:overlay val="0"/>
    </c:title>
    <c:autoTitleDeleted val="0"/>
    <c:pivotFmts>
      <c:pivotFmt>
        <c:idx val="0"/>
        <c:spPr>
          <a:ln w="25400">
            <a:solidFill>
              <a:srgbClr val="2962B5"/>
            </a:solidFill>
          </a:ln>
        </c:spPr>
        <c:marker>
          <c:symbol val="none"/>
        </c:marker>
        <c:dLbl>
          <c:idx val="0"/>
          <c:delete val="1"/>
          <c:extLst>
            <c:ext xmlns:c15="http://schemas.microsoft.com/office/drawing/2012/chart" uri="{CE6537A1-D6FC-4f65-9D91-7224C49458BB}"/>
          </c:extLst>
        </c:dLbl>
      </c:pivotFmt>
      <c:pivotFmt>
        <c:idx val="1"/>
        <c:spPr>
          <a:ln w="25400">
            <a:solidFill>
              <a:srgbClr val="2EA064"/>
            </a:solidFill>
          </a:ln>
        </c:spPr>
        <c:marker>
          <c:symbol val="circle"/>
          <c:size val="5"/>
          <c:spPr>
            <a:solidFill>
              <a:srgbClr val="FFFFFF"/>
            </a:solidFill>
            <a:ln w="25400">
              <a:solidFill>
                <a:srgbClr val="2EA064"/>
              </a:solidFill>
              <a:prstDash val="solid"/>
            </a:ln>
          </c:spPr>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Pivot!$U$2:$U$3</c:f>
              <c:strCache>
                <c:ptCount val="1"/>
                <c:pt idx="0">
                  <c:v>StockIn</c:v>
                </c:pt>
              </c:strCache>
            </c:strRef>
          </c:tx>
          <c:spPr>
            <a:ln w="25400">
              <a:solidFill>
                <a:srgbClr val="2962B5"/>
              </a:solidFill>
            </a:ln>
          </c:spPr>
          <c:invertIfNegative val="0"/>
          <c:cat>
            <c:strRef>
              <c:f>Pivot!$T$4:$T$16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Pivot!$U$4:$U$16</c:f>
              <c:numCache>
                <c:formatCode>#,##0</c:formatCode>
                <c:ptCount val="12"/>
                <c:pt idx="0">
                  <c:v>417</c:v>
                </c:pt>
                <c:pt idx="1">
                  <c:v>284</c:v>
                </c:pt>
                <c:pt idx="2">
                  <c:v>489</c:v>
                </c:pt>
                <c:pt idx="3">
                  <c:v>643</c:v>
                </c:pt>
                <c:pt idx="4">
                  <c:v>671</c:v>
                </c:pt>
                <c:pt idx="5">
                  <c:v>524</c:v>
                </c:pt>
                <c:pt idx="6">
                  <c:v>449</c:v>
                </c:pt>
                <c:pt idx="7">
                  <c:v>519</c:v>
                </c:pt>
                <c:pt idx="8">
                  <c:v>481</c:v>
                </c:pt>
                <c:pt idx="9">
                  <c:v>231</c:v>
                </c:pt>
                <c:pt idx="10">
                  <c:v>116</c:v>
                </c:pt>
                <c:pt idx="11">
                  <c:v>574</c:v>
                </c:pt>
              </c:numCache>
            </c:numRef>
          </c:val>
          <c:extLst>
            <c:ext xmlns:c16="http://schemas.microsoft.com/office/drawing/2014/chart" uri="{C3380CC4-5D6E-409C-BE32-E72D297353CC}">
              <c16:uniqueId val="{00000001-4945-4C56-BEE8-F9AED713F534}"/>
            </c:ext>
          </c:extLst>
        </c:ser>
        <c:dLbls>
          <c:showLegendKey val="0"/>
          <c:showVal val="0"/>
          <c:showCatName val="0"/>
          <c:showSerName val="0"/>
          <c:showPercent val="0"/>
          <c:showBubbleSize val="0"/>
        </c:dLbls>
        <c:gapWidth val="97"/>
        <c:axId val="2061305680"/>
        <c:axId val="2061316720"/>
      </c:barChart>
      <c:lineChart>
        <c:grouping val="standard"/>
        <c:varyColors val="0"/>
        <c:ser>
          <c:idx val="1"/>
          <c:order val="1"/>
          <c:tx>
            <c:strRef>
              <c:f>Pivot!$V$2:$V$3</c:f>
              <c:strCache>
                <c:ptCount val="1"/>
                <c:pt idx="0">
                  <c:v>StockOut</c:v>
                </c:pt>
              </c:strCache>
            </c:strRef>
          </c:tx>
          <c:spPr>
            <a:ln w="25400">
              <a:solidFill>
                <a:srgbClr val="2EA064"/>
              </a:solidFill>
            </a:ln>
          </c:spPr>
          <c:marker>
            <c:symbol val="circle"/>
            <c:size val="5"/>
            <c:spPr>
              <a:solidFill>
                <a:srgbClr val="FFFFFF"/>
              </a:solidFill>
              <a:ln w="25400">
                <a:solidFill>
                  <a:srgbClr val="2EA064"/>
                </a:solidFill>
                <a:prstDash val="solid"/>
              </a:ln>
            </c:spPr>
          </c:marker>
          <c:cat>
            <c:strRef>
              <c:f>Pivot!$T$4:$T$16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Pivot!$V$4:$V$16</c:f>
              <c:numCache>
                <c:formatCode>#,##0</c:formatCode>
                <c:ptCount val="12"/>
                <c:pt idx="0">
                  <c:v>294</c:v>
                </c:pt>
                <c:pt idx="1">
                  <c:v>118</c:v>
                </c:pt>
                <c:pt idx="2">
                  <c:v>297</c:v>
                </c:pt>
                <c:pt idx="3">
                  <c:v>326</c:v>
                </c:pt>
                <c:pt idx="4">
                  <c:v>294</c:v>
                </c:pt>
                <c:pt idx="5">
                  <c:v>301</c:v>
                </c:pt>
                <c:pt idx="6">
                  <c:v>190</c:v>
                </c:pt>
                <c:pt idx="7">
                  <c:v>275</c:v>
                </c:pt>
                <c:pt idx="8">
                  <c:v>293</c:v>
                </c:pt>
                <c:pt idx="9">
                  <c:v>95</c:v>
                </c:pt>
                <c:pt idx="10">
                  <c:v>81</c:v>
                </c:pt>
                <c:pt idx="11">
                  <c:v>416</c:v>
                </c:pt>
              </c:numCache>
            </c:numRef>
          </c:val>
          <c:smooth val="0"/>
          <c:extLst>
            <c:ext xmlns:c16="http://schemas.microsoft.com/office/drawing/2014/chart" uri="{C3380CC4-5D6E-409C-BE32-E72D297353CC}">
              <c16:uniqueId val="{00000002-4945-4C56-BEE8-F9AED713F534}"/>
            </c:ext>
          </c:extLst>
        </c:ser>
        <c:dLbls>
          <c:showLegendKey val="0"/>
          <c:showVal val="0"/>
          <c:showCatName val="0"/>
          <c:showSerName val="0"/>
          <c:showPercent val="0"/>
          <c:showBubbleSize val="0"/>
        </c:dLbls>
        <c:marker val="1"/>
        <c:smooth val="0"/>
        <c:axId val="2061305680"/>
        <c:axId val="2061316720"/>
      </c:lineChart>
      <c:catAx>
        <c:axId val="2061305680"/>
        <c:scaling>
          <c:orientation val="minMax"/>
        </c:scaling>
        <c:delete val="0"/>
        <c:axPos val="b"/>
        <c:numFmt formatCode="General" sourceLinked="1"/>
        <c:majorTickMark val="out"/>
        <c:minorTickMark val="none"/>
        <c:tickLblPos val="nextTo"/>
        <c:txPr>
          <a:bodyPr/>
          <a:lstStyle/>
          <a:p>
            <a:pPr>
              <a:defRPr sz="900">
                <a:latin typeface="Calibri"/>
                <a:ea typeface="Calibri"/>
                <a:cs typeface="Calibri"/>
              </a:defRPr>
            </a:pPr>
            <a:endParaRPr lang="en-US"/>
          </a:p>
        </c:txPr>
        <c:crossAx val="2061316720"/>
        <c:crosses val="autoZero"/>
        <c:auto val="1"/>
        <c:lblAlgn val="ctr"/>
        <c:lblOffset val="100"/>
        <c:noMultiLvlLbl val="0"/>
      </c:catAx>
      <c:valAx>
        <c:axId val="2061316720"/>
        <c:scaling>
          <c:orientation val="minMax"/>
        </c:scaling>
        <c:delete val="0"/>
        <c:axPos val="l"/>
        <c:numFmt formatCode="#,##0" sourceLinked="1"/>
        <c:majorTickMark val="out"/>
        <c:minorTickMark val="none"/>
        <c:tickLblPos val="nextTo"/>
        <c:txPr>
          <a:bodyPr/>
          <a:lstStyle/>
          <a:p>
            <a:pPr>
              <a:defRPr sz="900">
                <a:latin typeface="Calibri"/>
                <a:ea typeface="Calibri"/>
                <a:cs typeface="Calibri"/>
              </a:defRPr>
            </a:pPr>
            <a:endParaRPr lang="en-US"/>
          </a:p>
        </c:txPr>
        <c:crossAx val="2061305680"/>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b"/>
      <c:overlay val="0"/>
      <c:txPr>
        <a:bodyPr/>
        <a:lstStyle/>
        <a:p>
          <a:pPr>
            <a:defRPr sz="12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PERFORMANCE DASHBOARD.xlsm]Pivot!PT_Monthly</c:name>
    <c:fmtId val="1"/>
  </c:pivotSource>
  <c:chart>
    <c:title>
      <c:tx>
        <c:rich>
          <a:bodyPr/>
          <a:lstStyle/>
          <a:p>
            <a:pPr>
              <a:defRPr sz="1600" b="1">
                <a:solidFill>
                  <a:srgbClr val="1F497D"/>
                </a:solidFill>
                <a:latin typeface="Calibri"/>
                <a:ea typeface="Calibri"/>
                <a:cs typeface="Calibri"/>
              </a:defRPr>
            </a:pPr>
            <a:r>
              <a:rPr lang="en-IN"/>
              <a:t>Revenue vs Expenses</a:t>
            </a:r>
          </a:p>
        </c:rich>
      </c:tx>
      <c:overlay val="0"/>
    </c:title>
    <c:autoTitleDeleted val="0"/>
    <c:pivotFmts>
      <c:pivotFmt>
        <c:idx val="0"/>
        <c:spPr>
          <a:solidFill>
            <a:srgbClr val="2962B5"/>
          </a:solidFill>
        </c:spPr>
        <c:marker>
          <c:symbol val="none"/>
        </c:marker>
        <c:dLbl>
          <c:idx val="0"/>
          <c:delete val="1"/>
          <c:extLst>
            <c:ext xmlns:c15="http://schemas.microsoft.com/office/drawing/2012/chart" uri="{CE6537A1-D6FC-4f65-9D91-7224C49458BB}"/>
          </c:extLst>
        </c:dLbl>
      </c:pivotFmt>
      <c:pivotFmt>
        <c:idx val="1"/>
        <c:spPr>
          <a:solidFill>
            <a:srgbClr val="2EA064"/>
          </a:solidFill>
        </c:spPr>
        <c:marker>
          <c:symbol val="none"/>
        </c:marker>
        <c:dLbl>
          <c:idx val="0"/>
          <c:delete val="1"/>
          <c:extLst>
            <c:ext xmlns:c15="http://schemas.microsoft.com/office/drawing/2012/chart" uri="{CE6537A1-D6FC-4f65-9D91-7224C49458BB}"/>
          </c:extLst>
        </c:dLbl>
      </c:pivotFmt>
      <c:pivotFmt>
        <c:idx val="2"/>
        <c:spPr>
          <a:solidFill>
            <a:srgbClr val="BE3C3C"/>
          </a:solidFill>
        </c:spPr>
        <c:marker>
          <c:symbol val="none"/>
        </c:marker>
        <c:dLbl>
          <c:idx val="0"/>
          <c:delete val="1"/>
          <c:extLst>
            <c:ext xmlns:c15="http://schemas.microsoft.com/office/drawing/2012/chart" uri="{CE6537A1-D6FC-4f65-9D91-7224C49458BB}"/>
          </c:extLst>
        </c:dLbl>
      </c:pivotFmt>
      <c:pivotFmt>
        <c:idx val="3"/>
        <c:marker>
          <c:symbol val="none"/>
        </c:marker>
        <c:dLbl>
          <c:idx val="0"/>
          <c:delete val="1"/>
          <c:extLst>
            <c:ext xmlns:c15="http://schemas.microsoft.com/office/drawing/2012/chart" uri="{CE6537A1-D6FC-4f65-9D91-7224C49458BB}"/>
          </c:extLst>
        </c:dLbl>
      </c:pivotFmt>
    </c:pivotFmts>
    <c:plotArea>
      <c:layout>
        <c:manualLayout>
          <c:xMode val="edge"/>
          <c:yMode val="edge"/>
          <c:x val="3.5379251904832092E-2"/>
          <c:y val="0.11195928753180662"/>
          <c:w val="0.91959260930719966"/>
          <c:h val="0.55410178117048348"/>
        </c:manualLayout>
      </c:layout>
      <c:barChart>
        <c:barDir val="col"/>
        <c:grouping val="stacked"/>
        <c:varyColors val="0"/>
        <c:ser>
          <c:idx val="0"/>
          <c:order val="0"/>
          <c:tx>
            <c:strRef>
              <c:f>Pivot!$B$2:$B$3</c:f>
              <c:strCache>
                <c:ptCount val="1"/>
                <c:pt idx="0">
                  <c:v>Total Revenue</c:v>
                </c:pt>
              </c:strCache>
            </c:strRef>
          </c:tx>
          <c:spPr>
            <a:solidFill>
              <a:srgbClr val="2962B5"/>
            </a:solidFill>
          </c:spPr>
          <c:invertIfNegative val="0"/>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Pivot!$B$4:$B$16</c:f>
              <c:numCache>
                <c:formatCode>"₹"#,##0</c:formatCode>
                <c:ptCount val="12"/>
                <c:pt idx="0">
                  <c:v>90512</c:v>
                </c:pt>
                <c:pt idx="1">
                  <c:v>24736</c:v>
                </c:pt>
                <c:pt idx="2">
                  <c:v>84408</c:v>
                </c:pt>
                <c:pt idx="3">
                  <c:v>88759</c:v>
                </c:pt>
                <c:pt idx="4">
                  <c:v>80513</c:v>
                </c:pt>
                <c:pt idx="5">
                  <c:v>90008</c:v>
                </c:pt>
                <c:pt idx="6">
                  <c:v>62602</c:v>
                </c:pt>
                <c:pt idx="7">
                  <c:v>68856</c:v>
                </c:pt>
                <c:pt idx="8">
                  <c:v>86970</c:v>
                </c:pt>
                <c:pt idx="9">
                  <c:v>35874</c:v>
                </c:pt>
                <c:pt idx="10">
                  <c:v>28987</c:v>
                </c:pt>
                <c:pt idx="11">
                  <c:v>85156</c:v>
                </c:pt>
              </c:numCache>
            </c:numRef>
          </c:val>
          <c:extLst>
            <c:ext xmlns:c16="http://schemas.microsoft.com/office/drawing/2014/chart" uri="{C3380CC4-5D6E-409C-BE32-E72D297353CC}">
              <c16:uniqueId val="{00000001-6634-4F64-8667-2E471D6A19B9}"/>
            </c:ext>
          </c:extLst>
        </c:ser>
        <c:ser>
          <c:idx val="1"/>
          <c:order val="1"/>
          <c:tx>
            <c:strRef>
              <c:f>Pivot!$C$2:$C$3</c:f>
              <c:strCache>
                <c:ptCount val="1"/>
                <c:pt idx="0">
                  <c:v>Total Profit</c:v>
                </c:pt>
              </c:strCache>
            </c:strRef>
          </c:tx>
          <c:spPr>
            <a:solidFill>
              <a:srgbClr val="2EA064"/>
            </a:solidFill>
          </c:spPr>
          <c:invertIfNegative val="0"/>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Pivot!$C$4:$C$16</c:f>
              <c:numCache>
                <c:formatCode>"₹"#,##0</c:formatCode>
                <c:ptCount val="12"/>
                <c:pt idx="0">
                  <c:v>67034</c:v>
                </c:pt>
                <c:pt idx="1">
                  <c:v>15874</c:v>
                </c:pt>
                <c:pt idx="2">
                  <c:v>55519</c:v>
                </c:pt>
                <c:pt idx="3">
                  <c:v>58833</c:v>
                </c:pt>
                <c:pt idx="4">
                  <c:v>53328</c:v>
                </c:pt>
                <c:pt idx="5">
                  <c:v>52676</c:v>
                </c:pt>
                <c:pt idx="6">
                  <c:v>40259</c:v>
                </c:pt>
                <c:pt idx="7">
                  <c:v>43844</c:v>
                </c:pt>
                <c:pt idx="8">
                  <c:v>54299</c:v>
                </c:pt>
                <c:pt idx="9">
                  <c:v>20701</c:v>
                </c:pt>
                <c:pt idx="10">
                  <c:v>21828</c:v>
                </c:pt>
                <c:pt idx="11">
                  <c:v>49474</c:v>
                </c:pt>
              </c:numCache>
            </c:numRef>
          </c:val>
          <c:extLst>
            <c:ext xmlns:c16="http://schemas.microsoft.com/office/drawing/2014/chart" uri="{C3380CC4-5D6E-409C-BE32-E72D297353CC}">
              <c16:uniqueId val="{00000002-6634-4F64-8667-2E471D6A19B9}"/>
            </c:ext>
          </c:extLst>
        </c:ser>
        <c:ser>
          <c:idx val="2"/>
          <c:order val="2"/>
          <c:tx>
            <c:strRef>
              <c:f>Pivot!$D$2:$D$3</c:f>
              <c:strCache>
                <c:ptCount val="1"/>
                <c:pt idx="0">
                  <c:v>Total Expenses</c:v>
                </c:pt>
              </c:strCache>
            </c:strRef>
          </c:tx>
          <c:spPr>
            <a:solidFill>
              <a:srgbClr val="BE3C3C"/>
            </a:solidFill>
          </c:spPr>
          <c:invertIfNegative val="0"/>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Pivot!$D$4:$D$16</c:f>
              <c:numCache>
                <c:formatCode>"₹"#,##0</c:formatCode>
                <c:ptCount val="12"/>
                <c:pt idx="0">
                  <c:v>23478</c:v>
                </c:pt>
                <c:pt idx="1">
                  <c:v>8862</c:v>
                </c:pt>
                <c:pt idx="2">
                  <c:v>28889</c:v>
                </c:pt>
                <c:pt idx="3">
                  <c:v>29926</c:v>
                </c:pt>
                <c:pt idx="4">
                  <c:v>27185</c:v>
                </c:pt>
                <c:pt idx="5">
                  <c:v>37332</c:v>
                </c:pt>
                <c:pt idx="6">
                  <c:v>22343</c:v>
                </c:pt>
                <c:pt idx="7">
                  <c:v>25012</c:v>
                </c:pt>
                <c:pt idx="8">
                  <c:v>32671</c:v>
                </c:pt>
                <c:pt idx="9">
                  <c:v>15173</c:v>
                </c:pt>
                <c:pt idx="10">
                  <c:v>7159</c:v>
                </c:pt>
                <c:pt idx="11">
                  <c:v>35682</c:v>
                </c:pt>
              </c:numCache>
            </c:numRef>
          </c:val>
          <c:extLst>
            <c:ext xmlns:c16="http://schemas.microsoft.com/office/drawing/2014/chart" uri="{C3380CC4-5D6E-409C-BE32-E72D297353CC}">
              <c16:uniqueId val="{00000003-6634-4F64-8667-2E471D6A19B9}"/>
            </c:ext>
          </c:extLst>
        </c:ser>
        <c:ser>
          <c:idx val="3"/>
          <c:order val="3"/>
          <c:tx>
            <c:strRef>
              <c:f>Pivot!$E$2:$E$3</c:f>
              <c:strCache>
                <c:ptCount val="1"/>
                <c:pt idx="0">
                  <c:v>UnitsSold</c:v>
                </c:pt>
              </c:strCache>
            </c:strRef>
          </c:tx>
          <c:invertIfNegative val="0"/>
          <c:cat>
            <c:strRef>
              <c:f>Pivot!$A$4:$A$16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Pivot!$E$4:$E$16</c:f>
              <c:numCache>
                <c:formatCode>#,##0</c:formatCode>
                <c:ptCount val="12"/>
                <c:pt idx="0">
                  <c:v>294</c:v>
                </c:pt>
                <c:pt idx="1">
                  <c:v>118</c:v>
                </c:pt>
                <c:pt idx="2">
                  <c:v>297</c:v>
                </c:pt>
                <c:pt idx="3">
                  <c:v>326</c:v>
                </c:pt>
                <c:pt idx="4">
                  <c:v>294</c:v>
                </c:pt>
                <c:pt idx="5">
                  <c:v>301</c:v>
                </c:pt>
                <c:pt idx="6">
                  <c:v>190</c:v>
                </c:pt>
                <c:pt idx="7">
                  <c:v>275</c:v>
                </c:pt>
                <c:pt idx="8">
                  <c:v>293</c:v>
                </c:pt>
                <c:pt idx="9">
                  <c:v>95</c:v>
                </c:pt>
                <c:pt idx="10">
                  <c:v>81</c:v>
                </c:pt>
                <c:pt idx="11">
                  <c:v>416</c:v>
                </c:pt>
              </c:numCache>
            </c:numRef>
          </c:val>
          <c:extLst>
            <c:ext xmlns:c16="http://schemas.microsoft.com/office/drawing/2014/chart" uri="{C3380CC4-5D6E-409C-BE32-E72D297353CC}">
              <c16:uniqueId val="{00000005-6634-4F64-8667-2E471D6A19B9}"/>
            </c:ext>
          </c:extLst>
        </c:ser>
        <c:dLbls>
          <c:showLegendKey val="0"/>
          <c:showVal val="0"/>
          <c:showCatName val="0"/>
          <c:showSerName val="0"/>
          <c:showPercent val="0"/>
          <c:showBubbleSize val="0"/>
        </c:dLbls>
        <c:gapWidth val="100"/>
        <c:overlap val="100"/>
        <c:axId val="2061309040"/>
        <c:axId val="2061301840"/>
      </c:barChart>
      <c:catAx>
        <c:axId val="2061309040"/>
        <c:scaling>
          <c:orientation val="minMax"/>
        </c:scaling>
        <c:delete val="0"/>
        <c:axPos val="b"/>
        <c:numFmt formatCode="General" sourceLinked="1"/>
        <c:majorTickMark val="out"/>
        <c:minorTickMark val="none"/>
        <c:tickLblPos val="nextTo"/>
        <c:txPr>
          <a:bodyPr/>
          <a:lstStyle/>
          <a:p>
            <a:pPr>
              <a:defRPr sz="900">
                <a:latin typeface="Calibri"/>
                <a:ea typeface="Calibri"/>
                <a:cs typeface="Calibri"/>
              </a:defRPr>
            </a:pPr>
            <a:endParaRPr lang="en-US"/>
          </a:p>
        </c:txPr>
        <c:crossAx val="2061301840"/>
        <c:crosses val="autoZero"/>
        <c:auto val="1"/>
        <c:lblAlgn val="ctr"/>
        <c:lblOffset val="100"/>
        <c:noMultiLvlLbl val="0"/>
      </c:catAx>
      <c:valAx>
        <c:axId val="2061301840"/>
        <c:scaling>
          <c:orientation val="minMax"/>
        </c:scaling>
        <c:delete val="1"/>
        <c:axPos val="l"/>
        <c:numFmt formatCode="&quot;₹&quot;#,##0" sourceLinked="1"/>
        <c:majorTickMark val="out"/>
        <c:minorTickMark val="none"/>
        <c:tickLblPos val="nextTo"/>
        <c:crossAx val="2061309040"/>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b"/>
      <c:layout>
        <c:manualLayout>
          <c:xMode val="edge"/>
          <c:yMode val="edge"/>
          <c:x val="1.2865182510848033E-2"/>
          <c:y val="0.86512191701228192"/>
          <c:w val="0.98391852186143991"/>
          <c:h val="0.10178117048346055"/>
        </c:manualLayout>
      </c:layout>
      <c:overlay val="0"/>
      <c:txPr>
        <a:bodyPr/>
        <a:lstStyle/>
        <a:p>
          <a:pPr>
            <a:defRPr sz="1200">
              <a:latin typeface="Calibri"/>
              <a:ea typeface="Calibri"/>
              <a:cs typeface="Calibri"/>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12700">
      <a:solidFill>
        <a:srgbClr val="1F497D"/>
      </a:solid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14</xdr:col>
      <xdr:colOff>190500</xdr:colOff>
      <xdr:row>3</xdr:row>
      <xdr:rowOff>171450</xdr:rowOff>
    </xdr:from>
    <xdr:to>
      <xdr:col>17</xdr:col>
      <xdr:colOff>438150</xdr:colOff>
      <xdr:row>7</xdr:row>
      <xdr:rowOff>66675</xdr:rowOff>
    </xdr:to>
    <xdr:sp macro="[0]!CreateInventoryDashboard" textlink="">
      <xdr:nvSpPr>
        <xdr:cNvPr id="2" name="Rectangle: Rounded Corners 1">
          <a:extLst>
            <a:ext uri="{FF2B5EF4-FFF2-40B4-BE49-F238E27FC236}">
              <a16:creationId xmlns:a16="http://schemas.microsoft.com/office/drawing/2014/main" id="{E9F77E93-A1B6-C602-887D-E2625648A7B0}"/>
            </a:ext>
          </a:extLst>
        </xdr:cNvPr>
        <xdr:cNvSpPr/>
      </xdr:nvSpPr>
      <xdr:spPr>
        <a:xfrm>
          <a:off x="11668125" y="742950"/>
          <a:ext cx="2076450" cy="657225"/>
        </a:xfrm>
        <a:prstGeom prst="roundRect">
          <a:avLst/>
        </a:prstGeom>
        <a:solidFill>
          <a:schemeClr val="tx1">
            <a:lumMod val="75000"/>
            <a:lumOff val="25000"/>
          </a:schemeClr>
        </a:solidFill>
        <a:ln>
          <a:solidFill>
            <a:schemeClr val="accent6">
              <a:lumMod val="75000"/>
            </a:schemeClr>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algn="l"/>
          <a:r>
            <a:rPr lang="en-IN" sz="1100"/>
            <a:t>  Click Here</a:t>
          </a:r>
          <a:r>
            <a:rPr lang="en-IN" sz="1100" baseline="0"/>
            <a:t>  To Generate a mini </a:t>
          </a:r>
          <a:br>
            <a:rPr lang="en-IN" sz="1100" baseline="0"/>
          </a:br>
          <a:r>
            <a:rPr lang="en-IN" sz="1100" baseline="0"/>
            <a:t>           </a:t>
          </a:r>
          <a:r>
            <a:rPr lang="en-IN" sz="1600" b="1" cap="none" spc="0" baseline="0">
              <a:ln w="10160">
                <a:solidFill>
                  <a:schemeClr val="accent3">
                    <a:lumMod val="40000"/>
                    <a:lumOff val="60000"/>
                  </a:schemeClr>
                </a:solidFill>
                <a:prstDash val="solid"/>
              </a:ln>
              <a:solidFill>
                <a:schemeClr val="tx2">
                  <a:lumMod val="40000"/>
                  <a:lumOff val="60000"/>
                </a:schemeClr>
              </a:solidFill>
              <a:effectLst>
                <a:outerShdw blurRad="38100" dist="22860" dir="5400000" algn="tl" rotWithShape="0">
                  <a:srgbClr val="000000">
                    <a:alpha val="30000"/>
                  </a:srgbClr>
                </a:outerShdw>
                <a:reflection blurRad="6350" stA="60000" endA="900" endPos="58000" dir="5400000" sy="-100000" algn="bl" rotWithShape="0"/>
              </a:effectLst>
            </a:rPr>
            <a:t>DASHBOARD</a:t>
          </a:r>
          <a:endParaRPr lang="en-IN" sz="1100" b="1" baseline="0">
            <a:ln w="10160">
              <a:solidFill>
                <a:schemeClr val="accent3">
                  <a:lumMod val="40000"/>
                  <a:lumOff val="60000"/>
                </a:schemeClr>
              </a:solidFill>
              <a:prstDash val="solid"/>
            </a:ln>
            <a:solidFill>
              <a:schemeClr val="tx2">
                <a:lumMod val="40000"/>
                <a:lumOff val="60000"/>
              </a:schemeClr>
            </a:solidFill>
            <a:effectLst>
              <a:outerShdw blurRad="38100" dist="22860" dir="5400000" algn="tl" rotWithShape="0">
                <a:srgbClr val="000000">
                  <a:alpha val="30000"/>
                </a:srgbClr>
              </a:outerShdw>
              <a:reflection blurRad="6350" stA="60000" endA="900" endPos="58000" dir="5400000" sy="-100000" algn="bl" rotWithShape="0"/>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25400</xdr:colOff>
      <xdr:row>5</xdr:row>
      <xdr:rowOff>25400</xdr:rowOff>
    </xdr:from>
    <xdr:to>
      <xdr:col>10</xdr:col>
      <xdr:colOff>306917</xdr:colOff>
      <xdr:row>19</xdr:row>
      <xdr:rowOff>120650</xdr:rowOff>
    </xdr:to>
    <xdr:graphicFrame macro="">
      <xdr:nvGraphicFramePr>
        <xdr:cNvPr id="2" name="Chart 1">
          <a:extLst>
            <a:ext uri="{FF2B5EF4-FFF2-40B4-BE49-F238E27FC236}">
              <a16:creationId xmlns:a16="http://schemas.microsoft.com/office/drawing/2014/main" id="{BBAFAC56-527C-DD9F-AB27-84ED73F717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383117</xdr:colOff>
      <xdr:row>5</xdr:row>
      <xdr:rowOff>25400</xdr:rowOff>
    </xdr:from>
    <xdr:to>
      <xdr:col>18</xdr:col>
      <xdr:colOff>140759</xdr:colOff>
      <xdr:row>19</xdr:row>
      <xdr:rowOff>120650</xdr:rowOff>
    </xdr:to>
    <xdr:graphicFrame macro="">
      <xdr:nvGraphicFramePr>
        <xdr:cNvPr id="3" name="Chart 2">
          <a:extLst>
            <a:ext uri="{FF2B5EF4-FFF2-40B4-BE49-F238E27FC236}">
              <a16:creationId xmlns:a16="http://schemas.microsoft.com/office/drawing/2014/main" id="{F7B78C6D-7316-1EB9-4E19-1C8AE218F6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216958</xdr:colOff>
      <xdr:row>5</xdr:row>
      <xdr:rowOff>25400</xdr:rowOff>
    </xdr:from>
    <xdr:to>
      <xdr:col>25</xdr:col>
      <xdr:colOff>498475</xdr:colOff>
      <xdr:row>19</xdr:row>
      <xdr:rowOff>120650</xdr:rowOff>
    </xdr:to>
    <xdr:graphicFrame macro="">
      <xdr:nvGraphicFramePr>
        <xdr:cNvPr id="4" name="Chart 3">
          <a:extLst>
            <a:ext uri="{FF2B5EF4-FFF2-40B4-BE49-F238E27FC236}">
              <a16:creationId xmlns:a16="http://schemas.microsoft.com/office/drawing/2014/main" id="{FF053E67-2F2D-C26D-DF99-97F84E8FA6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25400</xdr:colOff>
      <xdr:row>20</xdr:row>
      <xdr:rowOff>50800</xdr:rowOff>
    </xdr:from>
    <xdr:to>
      <xdr:col>10</xdr:col>
      <xdr:colOff>306917</xdr:colOff>
      <xdr:row>34</xdr:row>
      <xdr:rowOff>146050</xdr:rowOff>
    </xdr:to>
    <xdr:graphicFrame macro="">
      <xdr:nvGraphicFramePr>
        <xdr:cNvPr id="5" name="Chart 4">
          <a:extLst>
            <a:ext uri="{FF2B5EF4-FFF2-40B4-BE49-F238E27FC236}">
              <a16:creationId xmlns:a16="http://schemas.microsoft.com/office/drawing/2014/main" id="{00E08D8E-FD15-ACE8-7225-D20D559B3F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383117</xdr:colOff>
      <xdr:row>20</xdr:row>
      <xdr:rowOff>50800</xdr:rowOff>
    </xdr:from>
    <xdr:to>
      <xdr:col>18</xdr:col>
      <xdr:colOff>140759</xdr:colOff>
      <xdr:row>34</xdr:row>
      <xdr:rowOff>146050</xdr:rowOff>
    </xdr:to>
    <xdr:graphicFrame macro="">
      <xdr:nvGraphicFramePr>
        <xdr:cNvPr id="6" name="Chart 5">
          <a:extLst>
            <a:ext uri="{FF2B5EF4-FFF2-40B4-BE49-F238E27FC236}">
              <a16:creationId xmlns:a16="http://schemas.microsoft.com/office/drawing/2014/main" id="{E3205A5C-B331-498A-5948-8354C93AF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216958</xdr:colOff>
      <xdr:row>20</xdr:row>
      <xdr:rowOff>50800</xdr:rowOff>
    </xdr:from>
    <xdr:to>
      <xdr:col>25</xdr:col>
      <xdr:colOff>498475</xdr:colOff>
      <xdr:row>34</xdr:row>
      <xdr:rowOff>146050</xdr:rowOff>
    </xdr:to>
    <xdr:graphicFrame macro="">
      <xdr:nvGraphicFramePr>
        <xdr:cNvPr id="7" name="Chart 6">
          <a:extLst>
            <a:ext uri="{FF2B5EF4-FFF2-40B4-BE49-F238E27FC236}">
              <a16:creationId xmlns:a16="http://schemas.microsoft.com/office/drawing/2014/main" id="{679427E5-64D8-7858-DAF9-4ABF9AF20F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5</xdr:row>
      <xdr:rowOff>0</xdr:rowOff>
    </xdr:from>
    <xdr:to>
      <xdr:col>3</xdr:col>
      <xdr:colOff>109008</xdr:colOff>
      <xdr:row>14</xdr:row>
      <xdr:rowOff>28575</xdr:rowOff>
    </xdr:to>
    <mc:AlternateContent xmlns:mc="http://schemas.openxmlformats.org/markup-compatibility/2006" xmlns:a14="http://schemas.microsoft.com/office/drawing/2010/main">
      <mc:Choice Requires="a14">
        <xdr:graphicFrame macro="">
          <xdr:nvGraphicFramePr>
            <xdr:cNvPr id="8" name="SC_Month">
              <a:extLst>
                <a:ext uri="{FF2B5EF4-FFF2-40B4-BE49-F238E27FC236}">
                  <a16:creationId xmlns:a16="http://schemas.microsoft.com/office/drawing/2014/main" id="{7DA57D8D-1DC4-07AC-D471-668870AA9C1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C_Month"/>
            </a:graphicData>
          </a:graphic>
        </xdr:graphicFrame>
      </mc:Choice>
      <mc:Fallback xmlns="">
        <xdr:sp macro="" textlink="">
          <xdr:nvSpPr>
            <xdr:cNvPr id="0" name=""/>
            <xdr:cNvSpPr>
              <a:spLocks noTextEdit="1"/>
            </xdr:cNvSpPr>
          </xdr:nvSpPr>
          <xdr:spPr>
            <a:xfrm>
              <a:off x="0" y="1632857"/>
              <a:ext cx="1701044" cy="16206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16933</xdr:rowOff>
    </xdr:from>
    <xdr:to>
      <xdr:col>3</xdr:col>
      <xdr:colOff>109008</xdr:colOff>
      <xdr:row>24</xdr:row>
      <xdr:rowOff>45508</xdr:rowOff>
    </xdr:to>
    <mc:AlternateContent xmlns:mc="http://schemas.openxmlformats.org/markup-compatibility/2006" xmlns:a14="http://schemas.microsoft.com/office/drawing/2010/main">
      <mc:Choice Requires="a14">
        <xdr:graphicFrame macro="">
          <xdr:nvGraphicFramePr>
            <xdr:cNvPr id="9" name="SC_Supplier">
              <a:extLst>
                <a:ext uri="{FF2B5EF4-FFF2-40B4-BE49-F238E27FC236}">
                  <a16:creationId xmlns:a16="http://schemas.microsoft.com/office/drawing/2014/main" id="{FBAC8D34-6F17-554C-EC0D-359BF97D590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C_Supplier"/>
            </a:graphicData>
          </a:graphic>
        </xdr:graphicFrame>
      </mc:Choice>
      <mc:Fallback xmlns="">
        <xdr:sp macro="" textlink="">
          <xdr:nvSpPr>
            <xdr:cNvPr id="0" name=""/>
            <xdr:cNvSpPr>
              <a:spLocks noTextEdit="1"/>
            </xdr:cNvSpPr>
          </xdr:nvSpPr>
          <xdr:spPr>
            <a:xfrm>
              <a:off x="0" y="3418719"/>
              <a:ext cx="1701044" cy="16206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33866</xdr:rowOff>
    </xdr:from>
    <xdr:to>
      <xdr:col>3</xdr:col>
      <xdr:colOff>109008</xdr:colOff>
      <xdr:row>34</xdr:row>
      <xdr:rowOff>62441</xdr:rowOff>
    </xdr:to>
    <mc:AlternateContent xmlns:mc="http://schemas.openxmlformats.org/markup-compatibility/2006" xmlns:a14="http://schemas.microsoft.com/office/drawing/2010/main">
      <mc:Choice Requires="a14">
        <xdr:graphicFrame macro="">
          <xdr:nvGraphicFramePr>
            <xdr:cNvPr id="10" name="SC_Category">
              <a:extLst>
                <a:ext uri="{FF2B5EF4-FFF2-40B4-BE49-F238E27FC236}">
                  <a16:creationId xmlns:a16="http://schemas.microsoft.com/office/drawing/2014/main" id="{844C23FE-0BEF-86B1-C64E-250FEF1671F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C_Category"/>
            </a:graphicData>
          </a:graphic>
        </xdr:graphicFrame>
      </mc:Choice>
      <mc:Fallback xmlns="">
        <xdr:sp macro="" textlink="">
          <xdr:nvSpPr>
            <xdr:cNvPr id="0" name=""/>
            <xdr:cNvSpPr>
              <a:spLocks noTextEdit="1"/>
            </xdr:cNvSpPr>
          </xdr:nvSpPr>
          <xdr:spPr>
            <a:xfrm>
              <a:off x="0" y="5204580"/>
              <a:ext cx="1701044" cy="16206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197.548477314813" createdVersion="3" refreshedVersion="8" minRefreshableVersion="3" recordCount="365" xr:uid="{BD69D310-8BD0-4C2B-85E9-F91ED3D35A47}">
  <cacheSource type="worksheet">
    <worksheetSource ref="A1:K366" sheet="Data"/>
  </cacheSource>
  <cacheFields count="11">
    <cacheField name="Date" numFmtId="14">
      <sharedItems containsSemiMixedTypes="0" containsNonDate="0" containsDate="1" containsString="0" minDate="2024-01-01T00:00:00" maxDate="2024-12-31T00:00:00"/>
    </cacheField>
    <cacheField name="Month" numFmtId="0">
      <sharedItems count="12">
        <s v="Jan"/>
        <s v="Feb"/>
        <s v="Mar"/>
        <s v="Apr"/>
        <s v="May"/>
        <s v="Jun"/>
        <s v="Jul"/>
        <s v="Aug"/>
        <s v="Sep"/>
        <s v="Oct"/>
        <s v="Nov"/>
        <s v="Dec"/>
      </sharedItems>
    </cacheField>
    <cacheField name="Product" numFmtId="0">
      <sharedItems count="7">
        <s v="Track Jacket"/>
        <s v="Yoga Pants"/>
        <s v="USB-C Cable"/>
        <s v="Running Shoes"/>
        <s v="Bluetooth Speaker"/>
        <s v="Wireless Mouse"/>
        <s v="Laptop Stand"/>
      </sharedItems>
    </cacheField>
    <cacheField name="Category" numFmtId="0">
      <sharedItems count="4">
        <s v="Clothing"/>
        <s v="Electronics"/>
        <s v="Footwear"/>
        <s v="Accessories"/>
      </sharedItems>
    </cacheField>
    <cacheField name="Stock In" numFmtId="0">
      <sharedItems containsSemiMixedTypes="0" containsString="0" containsNumber="1" containsInteger="1" minValue="20" maxValue="120"/>
    </cacheField>
    <cacheField name="Stock Out" numFmtId="0">
      <sharedItems containsSemiMixedTypes="0" containsString="0" containsNumber="1" containsInteger="1" minValue="10" maxValue="117"/>
    </cacheField>
    <cacheField name="Revenue" numFmtId="0">
      <sharedItems containsSemiMixedTypes="0" containsString="0" containsNumber="1" containsInteger="1" minValue="1133" maxValue="47100"/>
    </cacheField>
    <cacheField name="Expenses" numFmtId="0">
      <sharedItems containsSemiMixedTypes="0" containsString="0" containsNumber="1" containsInteger="1" minValue="262" maxValue="18737"/>
    </cacheField>
    <cacheField name="Supplier" numFmtId="0">
      <sharedItems count="5">
        <s v="TechCorp"/>
        <s v="XYZ Pvt"/>
        <s v="ABC Ltd"/>
        <s v="OfficePro"/>
        <s v="SoundX"/>
      </sharedItems>
    </cacheField>
    <cacheField name="Profit" numFmtId="0">
      <sharedItems containsSemiMixedTypes="0" containsString="0" containsNumber="1" containsInteger="1" minValue="704" maxValue="33654"/>
    </cacheField>
    <cacheField name="Profit Margin" numFmtId="0">
      <sharedItems containsSemiMixedTypes="0" containsString="0" containsNumber="1" minValue="53.478260869565219" maxValue="389.30769230769232"/>
    </cacheField>
  </cacheFields>
  <extLst>
    <ext xmlns:x14="http://schemas.microsoft.com/office/spreadsheetml/2009/9/main" uri="{725AE2AE-9491-48be-B2B4-4EB974FC3084}">
      <x14:pivotCacheDefinition pivotCacheId="15573620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5">
  <r>
    <d v="2024-01-01T00:00:00"/>
    <x v="0"/>
    <x v="0"/>
    <x v="0"/>
    <n v="61"/>
    <n v="12"/>
    <n v="5904"/>
    <n v="1482"/>
    <x v="0"/>
    <n v="4422"/>
    <n v="368.5"/>
  </r>
  <r>
    <d v="2024-01-02T00:00:00"/>
    <x v="0"/>
    <x v="1"/>
    <x v="0"/>
    <n v="54"/>
    <n v="45"/>
    <n v="15930"/>
    <n v="4679"/>
    <x v="1"/>
    <n v="11251"/>
    <n v="250.02222222222221"/>
  </r>
  <r>
    <d v="2024-01-03T00:00:00"/>
    <x v="0"/>
    <x v="0"/>
    <x v="0"/>
    <n v="118"/>
    <n v="106"/>
    <n v="34344"/>
    <n v="14426"/>
    <x v="0"/>
    <n v="19918"/>
    <n v="187.90566037735849"/>
  </r>
  <r>
    <d v="2024-01-04T00:00:00"/>
    <x v="0"/>
    <x v="2"/>
    <x v="1"/>
    <n v="104"/>
    <n v="100"/>
    <n v="36400"/>
    <n v="14819"/>
    <x v="1"/>
    <n v="21581"/>
    <n v="215.81"/>
  </r>
  <r>
    <d v="2024-01-05T00:00:00"/>
    <x v="0"/>
    <x v="3"/>
    <x v="2"/>
    <n v="72"/>
    <n v="59"/>
    <n v="8732"/>
    <n v="2636"/>
    <x v="1"/>
    <n v="6096"/>
    <n v="103.32203389830508"/>
  </r>
  <r>
    <d v="2024-01-06T00:00:00"/>
    <x v="0"/>
    <x v="2"/>
    <x v="1"/>
    <n v="55"/>
    <n v="18"/>
    <n v="5652"/>
    <n v="1722"/>
    <x v="1"/>
    <n v="3930"/>
    <n v="218.33333333333334"/>
  </r>
  <r>
    <d v="2024-01-07T00:00:00"/>
    <x v="0"/>
    <x v="0"/>
    <x v="0"/>
    <n v="99"/>
    <n v="90"/>
    <n v="43830"/>
    <n v="13565"/>
    <x v="1"/>
    <n v="30265"/>
    <n v="336.27777777777777"/>
  </r>
  <r>
    <d v="2024-01-08T00:00:00"/>
    <x v="0"/>
    <x v="3"/>
    <x v="2"/>
    <n v="21"/>
    <n v="13"/>
    <n v="6487"/>
    <n v="3186"/>
    <x v="2"/>
    <n v="3301"/>
    <n v="253.92307692307693"/>
  </r>
  <r>
    <d v="2024-01-09T00:00:00"/>
    <x v="0"/>
    <x v="4"/>
    <x v="1"/>
    <n v="113"/>
    <n v="16"/>
    <n v="5232"/>
    <n v="1830"/>
    <x v="2"/>
    <n v="3402"/>
    <n v="212.625"/>
  </r>
  <r>
    <d v="2024-01-10T00:00:00"/>
    <x v="0"/>
    <x v="0"/>
    <x v="0"/>
    <n v="71"/>
    <n v="18"/>
    <n v="8946"/>
    <n v="2423"/>
    <x v="3"/>
    <n v="6523"/>
    <n v="362.38888888888891"/>
  </r>
  <r>
    <d v="2024-01-11T00:00:00"/>
    <x v="0"/>
    <x v="2"/>
    <x v="1"/>
    <n v="51"/>
    <n v="19"/>
    <n v="6878"/>
    <n v="2102"/>
    <x v="2"/>
    <n v="4776"/>
    <n v="251.36842105263159"/>
  </r>
  <r>
    <d v="2024-01-12T00:00:00"/>
    <x v="0"/>
    <x v="5"/>
    <x v="1"/>
    <n v="91"/>
    <n v="20"/>
    <n v="9360"/>
    <n v="3796"/>
    <x v="3"/>
    <n v="5564"/>
    <n v="278.2"/>
  </r>
  <r>
    <d v="2024-01-13T00:00:00"/>
    <x v="0"/>
    <x v="5"/>
    <x v="1"/>
    <n v="57"/>
    <n v="36"/>
    <n v="5076"/>
    <n v="1478"/>
    <x v="3"/>
    <n v="3598"/>
    <n v="99.944444444444443"/>
  </r>
  <r>
    <d v="2024-01-14T00:00:00"/>
    <x v="0"/>
    <x v="0"/>
    <x v="0"/>
    <n v="62"/>
    <n v="60"/>
    <n v="15780"/>
    <n v="4958"/>
    <x v="0"/>
    <n v="10822"/>
    <n v="180.36666666666667"/>
  </r>
  <r>
    <d v="2024-01-15T00:00:00"/>
    <x v="0"/>
    <x v="1"/>
    <x v="0"/>
    <n v="65"/>
    <n v="30"/>
    <n v="13140"/>
    <n v="2765"/>
    <x v="0"/>
    <n v="10375"/>
    <n v="345.83333333333331"/>
  </r>
  <r>
    <d v="2024-01-16T00:00:00"/>
    <x v="0"/>
    <x v="6"/>
    <x v="3"/>
    <n v="67"/>
    <n v="26"/>
    <n v="7254"/>
    <n v="3031"/>
    <x v="4"/>
    <n v="4223"/>
    <n v="162.42307692307693"/>
  </r>
  <r>
    <d v="2024-01-17T00:00:00"/>
    <x v="0"/>
    <x v="1"/>
    <x v="0"/>
    <n v="89"/>
    <n v="23"/>
    <n v="10488"/>
    <n v="2610"/>
    <x v="4"/>
    <n v="7878"/>
    <n v="342.52173913043481"/>
  </r>
  <r>
    <d v="2024-01-18T00:00:00"/>
    <x v="0"/>
    <x v="1"/>
    <x v="0"/>
    <n v="114"/>
    <n v="110"/>
    <n v="29810"/>
    <n v="6512"/>
    <x v="4"/>
    <n v="23298"/>
    <n v="211.8"/>
  </r>
  <r>
    <d v="2024-01-19T00:00:00"/>
    <x v="0"/>
    <x v="3"/>
    <x v="2"/>
    <n v="117"/>
    <n v="113"/>
    <n v="34578"/>
    <n v="9219"/>
    <x v="4"/>
    <n v="25359"/>
    <n v="224.41592920353983"/>
  </r>
  <r>
    <d v="2024-01-20T00:00:00"/>
    <x v="0"/>
    <x v="2"/>
    <x v="1"/>
    <n v="112"/>
    <n v="71"/>
    <n v="24992"/>
    <n v="9083"/>
    <x v="3"/>
    <n v="15909"/>
    <n v="224.07042253521126"/>
  </r>
  <r>
    <d v="2024-01-21T00:00:00"/>
    <x v="0"/>
    <x v="1"/>
    <x v="0"/>
    <n v="78"/>
    <n v="68"/>
    <n v="27336"/>
    <n v="11345"/>
    <x v="0"/>
    <n v="15991"/>
    <n v="235.16176470588235"/>
  </r>
  <r>
    <d v="2024-01-22T00:00:00"/>
    <x v="0"/>
    <x v="3"/>
    <x v="2"/>
    <n v="59"/>
    <n v="51"/>
    <n v="9741"/>
    <n v="4411"/>
    <x v="2"/>
    <n v="5330"/>
    <n v="104.50980392156863"/>
  </r>
  <r>
    <d v="2024-01-23T00:00:00"/>
    <x v="0"/>
    <x v="6"/>
    <x v="3"/>
    <n v="70"/>
    <n v="28"/>
    <n v="6440"/>
    <n v="1320"/>
    <x v="0"/>
    <n v="5120"/>
    <n v="182.85714285714286"/>
  </r>
  <r>
    <d v="2024-01-24T00:00:00"/>
    <x v="0"/>
    <x v="3"/>
    <x v="2"/>
    <n v="30"/>
    <n v="22"/>
    <n v="8382"/>
    <n v="2106"/>
    <x v="4"/>
    <n v="6276"/>
    <n v="285.27272727272725"/>
  </r>
  <r>
    <d v="2024-01-25T00:00:00"/>
    <x v="0"/>
    <x v="6"/>
    <x v="3"/>
    <n v="44"/>
    <n v="15"/>
    <n v="1950"/>
    <n v="557"/>
    <x v="3"/>
    <n v="1393"/>
    <n v="92.86666666666666"/>
  </r>
  <r>
    <d v="2024-01-26T00:00:00"/>
    <x v="0"/>
    <x v="6"/>
    <x v="3"/>
    <n v="65"/>
    <n v="60"/>
    <n v="11760"/>
    <n v="3189"/>
    <x v="3"/>
    <n v="8571"/>
    <n v="142.85"/>
  </r>
  <r>
    <d v="2024-01-27T00:00:00"/>
    <x v="0"/>
    <x v="4"/>
    <x v="1"/>
    <n v="39"/>
    <n v="16"/>
    <n v="3040"/>
    <n v="1385"/>
    <x v="1"/>
    <n v="1655"/>
    <n v="103.4375"/>
  </r>
  <r>
    <d v="2024-01-28T00:00:00"/>
    <x v="0"/>
    <x v="1"/>
    <x v="0"/>
    <n v="52"/>
    <n v="50"/>
    <n v="22000"/>
    <n v="6901"/>
    <x v="1"/>
    <n v="15099"/>
    <n v="301.98"/>
  </r>
  <r>
    <d v="2024-01-29T00:00:00"/>
    <x v="0"/>
    <x v="6"/>
    <x v="3"/>
    <n v="116"/>
    <n v="82"/>
    <n v="31160"/>
    <n v="7239"/>
    <x v="3"/>
    <n v="23921"/>
    <n v="291.71951219512198"/>
  </r>
  <r>
    <d v="2024-01-30T00:00:00"/>
    <x v="0"/>
    <x v="6"/>
    <x v="3"/>
    <n v="107"/>
    <n v="31"/>
    <n v="3379"/>
    <n v="1108"/>
    <x v="3"/>
    <n v="2271"/>
    <n v="73.258064516129039"/>
  </r>
  <r>
    <d v="2024-01-31T00:00:00"/>
    <x v="0"/>
    <x v="6"/>
    <x v="3"/>
    <n v="102"/>
    <n v="68"/>
    <n v="33184"/>
    <n v="9959"/>
    <x v="0"/>
    <n v="23225"/>
    <n v="341.54411764705884"/>
  </r>
  <r>
    <d v="2024-02-01T00:00:00"/>
    <x v="1"/>
    <x v="0"/>
    <x v="0"/>
    <n v="55"/>
    <n v="32"/>
    <n v="11456"/>
    <n v="2721"/>
    <x v="0"/>
    <n v="8735"/>
    <n v="272.96875"/>
  </r>
  <r>
    <d v="2024-02-02T00:00:00"/>
    <x v="1"/>
    <x v="2"/>
    <x v="1"/>
    <n v="113"/>
    <n v="32"/>
    <n v="9728"/>
    <n v="4401"/>
    <x v="4"/>
    <n v="5327"/>
    <n v="166.46875"/>
  </r>
  <r>
    <d v="2024-02-03T00:00:00"/>
    <x v="1"/>
    <x v="5"/>
    <x v="1"/>
    <n v="37"/>
    <n v="11"/>
    <n v="1133"/>
    <n v="262"/>
    <x v="3"/>
    <n v="871"/>
    <n v="79.181818181818187"/>
  </r>
  <r>
    <d v="2024-02-04T00:00:00"/>
    <x v="1"/>
    <x v="1"/>
    <x v="0"/>
    <n v="37"/>
    <n v="13"/>
    <n v="1326"/>
    <n v="332"/>
    <x v="3"/>
    <n v="994"/>
    <n v="76.461538461538467"/>
  </r>
  <r>
    <d v="2024-02-05T00:00:00"/>
    <x v="1"/>
    <x v="1"/>
    <x v="0"/>
    <n v="94"/>
    <n v="22"/>
    <n v="9570"/>
    <n v="2702"/>
    <x v="2"/>
    <n v="6868"/>
    <n v="312.18181818181819"/>
  </r>
  <r>
    <d v="2024-02-06T00:00:00"/>
    <x v="1"/>
    <x v="0"/>
    <x v="0"/>
    <n v="58"/>
    <n v="32"/>
    <n v="5632"/>
    <n v="1232"/>
    <x v="3"/>
    <n v="4400"/>
    <n v="137.5"/>
  </r>
  <r>
    <d v="2024-02-07T00:00:00"/>
    <x v="1"/>
    <x v="0"/>
    <x v="0"/>
    <n v="104"/>
    <n v="52"/>
    <n v="19552"/>
    <n v="8253"/>
    <x v="3"/>
    <n v="11299"/>
    <n v="217.28846153846155"/>
  </r>
  <r>
    <d v="2024-02-08T00:00:00"/>
    <x v="1"/>
    <x v="6"/>
    <x v="3"/>
    <n v="29"/>
    <n v="14"/>
    <n v="5964"/>
    <n v="1829"/>
    <x v="3"/>
    <n v="4135"/>
    <n v="295.35714285714283"/>
  </r>
  <r>
    <d v="2024-02-09T00:00:00"/>
    <x v="1"/>
    <x v="0"/>
    <x v="0"/>
    <n v="30"/>
    <n v="17"/>
    <n v="2805"/>
    <n v="886"/>
    <x v="0"/>
    <n v="1919"/>
    <n v="112.88235294117646"/>
  </r>
  <r>
    <d v="2024-02-10T00:00:00"/>
    <x v="1"/>
    <x v="0"/>
    <x v="0"/>
    <n v="109"/>
    <n v="74"/>
    <n v="34706"/>
    <n v="8941"/>
    <x v="3"/>
    <n v="25765"/>
    <n v="348.17567567567568"/>
  </r>
  <r>
    <d v="2024-02-11T00:00:00"/>
    <x v="1"/>
    <x v="6"/>
    <x v="3"/>
    <n v="89"/>
    <n v="46"/>
    <n v="19872"/>
    <n v="8471"/>
    <x v="2"/>
    <n v="11401"/>
    <n v="247.84782608695653"/>
  </r>
  <r>
    <d v="2024-02-12T00:00:00"/>
    <x v="1"/>
    <x v="4"/>
    <x v="1"/>
    <n v="87"/>
    <n v="63"/>
    <n v="16128"/>
    <n v="5010"/>
    <x v="3"/>
    <n v="11118"/>
    <n v="176.47619047619048"/>
  </r>
  <r>
    <d v="2024-02-13T00:00:00"/>
    <x v="1"/>
    <x v="2"/>
    <x v="1"/>
    <n v="78"/>
    <n v="19"/>
    <n v="5605"/>
    <n v="1296"/>
    <x v="1"/>
    <n v="4309"/>
    <n v="226.78947368421052"/>
  </r>
  <r>
    <d v="2024-02-14T00:00:00"/>
    <x v="1"/>
    <x v="4"/>
    <x v="1"/>
    <n v="113"/>
    <n v="96"/>
    <n v="14880"/>
    <n v="3781"/>
    <x v="1"/>
    <n v="11099"/>
    <n v="115.61458333333333"/>
  </r>
  <r>
    <d v="2024-02-15T00:00:00"/>
    <x v="1"/>
    <x v="6"/>
    <x v="3"/>
    <n v="40"/>
    <n v="15"/>
    <n v="4920"/>
    <n v="1538"/>
    <x v="4"/>
    <n v="3382"/>
    <n v="225.46666666666667"/>
  </r>
  <r>
    <d v="2024-02-16T00:00:00"/>
    <x v="1"/>
    <x v="2"/>
    <x v="1"/>
    <n v="109"/>
    <n v="87"/>
    <n v="36366"/>
    <n v="10024"/>
    <x v="1"/>
    <n v="26342"/>
    <n v="302.78160919540232"/>
  </r>
  <r>
    <d v="2024-02-17T00:00:00"/>
    <x v="1"/>
    <x v="4"/>
    <x v="1"/>
    <n v="105"/>
    <n v="20"/>
    <n v="5240"/>
    <n v="2394"/>
    <x v="0"/>
    <n v="2846"/>
    <n v="142.30000000000001"/>
  </r>
  <r>
    <d v="2024-02-18T00:00:00"/>
    <x v="1"/>
    <x v="2"/>
    <x v="1"/>
    <n v="21"/>
    <n v="20"/>
    <n v="6700"/>
    <n v="2811"/>
    <x v="0"/>
    <n v="3889"/>
    <n v="194.45"/>
  </r>
  <r>
    <d v="2024-02-19T00:00:00"/>
    <x v="1"/>
    <x v="4"/>
    <x v="1"/>
    <n v="110"/>
    <n v="95"/>
    <n v="36575"/>
    <n v="13394"/>
    <x v="2"/>
    <n v="23181"/>
    <n v="244.01052631578946"/>
  </r>
  <r>
    <d v="2024-02-20T00:00:00"/>
    <x v="1"/>
    <x v="3"/>
    <x v="2"/>
    <n v="29"/>
    <n v="27"/>
    <n v="6642"/>
    <n v="2331"/>
    <x v="1"/>
    <n v="4311"/>
    <n v="159.66666666666666"/>
  </r>
  <r>
    <d v="2024-02-21T00:00:00"/>
    <x v="1"/>
    <x v="5"/>
    <x v="1"/>
    <n v="71"/>
    <n v="28"/>
    <n v="4928"/>
    <n v="1141"/>
    <x v="4"/>
    <n v="3787"/>
    <n v="135.25"/>
  </r>
  <r>
    <d v="2024-02-22T00:00:00"/>
    <x v="1"/>
    <x v="5"/>
    <x v="1"/>
    <n v="74"/>
    <n v="59"/>
    <n v="7198"/>
    <n v="2754"/>
    <x v="1"/>
    <n v="4444"/>
    <n v="75.322033898305079"/>
  </r>
  <r>
    <d v="2024-02-23T00:00:00"/>
    <x v="1"/>
    <x v="4"/>
    <x v="1"/>
    <n v="60"/>
    <n v="43"/>
    <n v="5160"/>
    <n v="1782"/>
    <x v="4"/>
    <n v="3378"/>
    <n v="78.558139534883722"/>
  </r>
  <r>
    <d v="2024-02-24T00:00:00"/>
    <x v="1"/>
    <x v="1"/>
    <x v="0"/>
    <n v="96"/>
    <n v="22"/>
    <n v="3498"/>
    <n v="814"/>
    <x v="3"/>
    <n v="2684"/>
    <n v="122"/>
  </r>
  <r>
    <d v="2024-02-25T00:00:00"/>
    <x v="1"/>
    <x v="0"/>
    <x v="0"/>
    <n v="23"/>
    <n v="16"/>
    <n v="5456"/>
    <n v="2534"/>
    <x v="3"/>
    <n v="2922"/>
    <n v="182.625"/>
  </r>
  <r>
    <d v="2024-02-26T00:00:00"/>
    <x v="1"/>
    <x v="6"/>
    <x v="3"/>
    <n v="73"/>
    <n v="26"/>
    <n v="7176"/>
    <n v="2422"/>
    <x v="1"/>
    <n v="4754"/>
    <n v="182.84615384615384"/>
  </r>
  <r>
    <d v="2024-02-27T00:00:00"/>
    <x v="1"/>
    <x v="3"/>
    <x v="2"/>
    <n v="50"/>
    <n v="34"/>
    <n v="6018"/>
    <n v="2177"/>
    <x v="3"/>
    <n v="3841"/>
    <n v="112.97058823529412"/>
  </r>
  <r>
    <d v="2024-02-28T00:00:00"/>
    <x v="1"/>
    <x v="3"/>
    <x v="2"/>
    <n v="51"/>
    <n v="32"/>
    <n v="8224"/>
    <n v="2357"/>
    <x v="1"/>
    <n v="5867"/>
    <n v="183.34375"/>
  </r>
  <r>
    <d v="2024-02-29T00:00:00"/>
    <x v="1"/>
    <x v="1"/>
    <x v="0"/>
    <n v="27"/>
    <n v="16"/>
    <n v="2592"/>
    <n v="867"/>
    <x v="0"/>
    <n v="1725"/>
    <n v="107.8125"/>
  </r>
  <r>
    <d v="2024-03-01T00:00:00"/>
    <x v="2"/>
    <x v="1"/>
    <x v="0"/>
    <n v="120"/>
    <n v="52"/>
    <n v="9932"/>
    <n v="4256"/>
    <x v="1"/>
    <n v="5676"/>
    <n v="109.15384615384616"/>
  </r>
  <r>
    <d v="2024-03-02T00:00:00"/>
    <x v="2"/>
    <x v="5"/>
    <x v="1"/>
    <n v="99"/>
    <n v="61"/>
    <n v="10919"/>
    <n v="5428"/>
    <x v="3"/>
    <n v="5491"/>
    <n v="90.016393442622956"/>
  </r>
  <r>
    <d v="2024-03-03T00:00:00"/>
    <x v="2"/>
    <x v="0"/>
    <x v="0"/>
    <n v="113"/>
    <n v="70"/>
    <n v="28700"/>
    <n v="12084"/>
    <x v="2"/>
    <n v="16616"/>
    <n v="237.37142857142857"/>
  </r>
  <r>
    <d v="2024-03-04T00:00:00"/>
    <x v="2"/>
    <x v="6"/>
    <x v="3"/>
    <n v="59"/>
    <n v="26"/>
    <n v="7202"/>
    <n v="3567"/>
    <x v="0"/>
    <n v="3635"/>
    <n v="139.80769230769232"/>
  </r>
  <r>
    <d v="2024-03-05T00:00:00"/>
    <x v="2"/>
    <x v="6"/>
    <x v="3"/>
    <n v="48"/>
    <n v="46"/>
    <n v="10304"/>
    <n v="2685"/>
    <x v="4"/>
    <n v="7619"/>
    <n v="165.63043478260869"/>
  </r>
  <r>
    <d v="2024-03-06T00:00:00"/>
    <x v="2"/>
    <x v="2"/>
    <x v="1"/>
    <n v="52"/>
    <n v="35"/>
    <n v="11410"/>
    <n v="5511"/>
    <x v="2"/>
    <n v="5899"/>
    <n v="168.54285714285714"/>
  </r>
  <r>
    <d v="2024-03-07T00:00:00"/>
    <x v="2"/>
    <x v="3"/>
    <x v="2"/>
    <n v="23"/>
    <n v="12"/>
    <n v="4464"/>
    <n v="1483"/>
    <x v="1"/>
    <n v="2981"/>
    <n v="248.41666666666666"/>
  </r>
  <r>
    <d v="2024-03-08T00:00:00"/>
    <x v="2"/>
    <x v="0"/>
    <x v="0"/>
    <n v="73"/>
    <n v="36"/>
    <n v="14868"/>
    <n v="5674"/>
    <x v="1"/>
    <n v="9194"/>
    <n v="255.38888888888889"/>
  </r>
  <r>
    <d v="2024-03-09T00:00:00"/>
    <x v="2"/>
    <x v="2"/>
    <x v="1"/>
    <n v="38"/>
    <n v="17"/>
    <n v="3757"/>
    <n v="1442"/>
    <x v="4"/>
    <n v="2315"/>
    <n v="136.1764705882353"/>
  </r>
  <r>
    <d v="2024-03-10T00:00:00"/>
    <x v="2"/>
    <x v="5"/>
    <x v="1"/>
    <n v="44"/>
    <n v="33"/>
    <n v="10758"/>
    <n v="2211"/>
    <x v="3"/>
    <n v="8547"/>
    <n v="259"/>
  </r>
  <r>
    <d v="2024-03-11T00:00:00"/>
    <x v="2"/>
    <x v="5"/>
    <x v="1"/>
    <n v="39"/>
    <n v="33"/>
    <n v="8679"/>
    <n v="3173"/>
    <x v="4"/>
    <n v="5506"/>
    <n v="166.84848484848484"/>
  </r>
  <r>
    <d v="2024-03-12T00:00:00"/>
    <x v="2"/>
    <x v="4"/>
    <x v="1"/>
    <n v="100"/>
    <n v="20"/>
    <n v="3220"/>
    <n v="1184"/>
    <x v="1"/>
    <n v="2036"/>
    <n v="101.8"/>
  </r>
  <r>
    <d v="2024-03-13T00:00:00"/>
    <x v="2"/>
    <x v="6"/>
    <x v="3"/>
    <n v="98"/>
    <n v="73"/>
    <n v="10877"/>
    <n v="4488"/>
    <x v="3"/>
    <n v="6389"/>
    <n v="87.520547945205479"/>
  </r>
  <r>
    <d v="2024-03-14T00:00:00"/>
    <x v="2"/>
    <x v="0"/>
    <x v="0"/>
    <n v="47"/>
    <n v="17"/>
    <n v="8126"/>
    <n v="3741"/>
    <x v="2"/>
    <n v="4385"/>
    <n v="257.94117647058823"/>
  </r>
  <r>
    <d v="2024-03-15T00:00:00"/>
    <x v="2"/>
    <x v="0"/>
    <x v="0"/>
    <n v="48"/>
    <n v="45"/>
    <n v="13905"/>
    <n v="4439"/>
    <x v="3"/>
    <n v="9466"/>
    <n v="210.35555555555555"/>
  </r>
  <r>
    <d v="2024-03-16T00:00:00"/>
    <x v="2"/>
    <x v="1"/>
    <x v="0"/>
    <n v="81"/>
    <n v="57"/>
    <n v="12255"/>
    <n v="4211"/>
    <x v="4"/>
    <n v="8044"/>
    <n v="141.12280701754386"/>
  </r>
  <r>
    <d v="2024-03-17T00:00:00"/>
    <x v="2"/>
    <x v="6"/>
    <x v="3"/>
    <n v="88"/>
    <n v="79"/>
    <n v="35866"/>
    <n v="13176"/>
    <x v="0"/>
    <n v="22690"/>
    <n v="287.21518987341773"/>
  </r>
  <r>
    <d v="2024-03-18T00:00:00"/>
    <x v="2"/>
    <x v="5"/>
    <x v="1"/>
    <n v="53"/>
    <n v="41"/>
    <n v="15908"/>
    <n v="7831"/>
    <x v="4"/>
    <n v="8077"/>
    <n v="197"/>
  </r>
  <r>
    <d v="2024-03-19T00:00:00"/>
    <x v="2"/>
    <x v="5"/>
    <x v="1"/>
    <n v="51"/>
    <n v="37"/>
    <n v="12247"/>
    <n v="4847"/>
    <x v="1"/>
    <n v="7400"/>
    <n v="200"/>
  </r>
  <r>
    <d v="2024-03-20T00:00:00"/>
    <x v="2"/>
    <x v="5"/>
    <x v="1"/>
    <n v="97"/>
    <n v="32"/>
    <n v="6752"/>
    <n v="3057"/>
    <x v="1"/>
    <n v="3695"/>
    <n v="115.46875"/>
  </r>
  <r>
    <d v="2024-03-21T00:00:00"/>
    <x v="2"/>
    <x v="1"/>
    <x v="0"/>
    <n v="41"/>
    <n v="29"/>
    <n v="8932"/>
    <n v="2381"/>
    <x v="3"/>
    <n v="6551"/>
    <n v="225.89655172413794"/>
  </r>
  <r>
    <d v="2024-03-22T00:00:00"/>
    <x v="2"/>
    <x v="4"/>
    <x v="1"/>
    <n v="20"/>
    <n v="18"/>
    <n v="5364"/>
    <n v="1665"/>
    <x v="3"/>
    <n v="3699"/>
    <n v="205.5"/>
  </r>
  <r>
    <d v="2024-03-23T00:00:00"/>
    <x v="2"/>
    <x v="6"/>
    <x v="3"/>
    <n v="99"/>
    <n v="37"/>
    <n v="6586"/>
    <n v="2335"/>
    <x v="1"/>
    <n v="4251"/>
    <n v="114.89189189189189"/>
  </r>
  <r>
    <d v="2024-03-24T00:00:00"/>
    <x v="2"/>
    <x v="3"/>
    <x v="2"/>
    <n v="37"/>
    <n v="34"/>
    <n v="12988"/>
    <n v="2874"/>
    <x v="0"/>
    <n v="10114"/>
    <n v="297.47058823529414"/>
  </r>
  <r>
    <d v="2024-03-25T00:00:00"/>
    <x v="2"/>
    <x v="1"/>
    <x v="0"/>
    <n v="67"/>
    <n v="39"/>
    <n v="19422"/>
    <n v="4239"/>
    <x v="4"/>
    <n v="15183"/>
    <n v="389.30769230769232"/>
  </r>
  <r>
    <d v="2024-03-26T00:00:00"/>
    <x v="2"/>
    <x v="0"/>
    <x v="0"/>
    <n v="42"/>
    <n v="21"/>
    <n v="7119"/>
    <n v="1656"/>
    <x v="1"/>
    <n v="5463"/>
    <n v="260.14285714285717"/>
  </r>
  <r>
    <d v="2024-03-27T00:00:00"/>
    <x v="2"/>
    <x v="3"/>
    <x v="2"/>
    <n v="43"/>
    <n v="42"/>
    <n v="20538"/>
    <n v="8862"/>
    <x v="2"/>
    <n v="11676"/>
    <n v="278"/>
  </r>
  <r>
    <d v="2024-03-28T00:00:00"/>
    <x v="2"/>
    <x v="3"/>
    <x v="2"/>
    <n v="47"/>
    <n v="31"/>
    <n v="13392"/>
    <n v="3077"/>
    <x v="0"/>
    <n v="10315"/>
    <n v="332.74193548387098"/>
  </r>
  <r>
    <d v="2024-03-29T00:00:00"/>
    <x v="2"/>
    <x v="5"/>
    <x v="1"/>
    <n v="113"/>
    <n v="15"/>
    <n v="4185"/>
    <n v="1364"/>
    <x v="4"/>
    <n v="2821"/>
    <n v="188.06666666666666"/>
  </r>
  <r>
    <d v="2024-03-30T00:00:00"/>
    <x v="2"/>
    <x v="1"/>
    <x v="0"/>
    <n v="115"/>
    <n v="14"/>
    <n v="4732"/>
    <n v="1109"/>
    <x v="3"/>
    <n v="3623"/>
    <n v="258.78571428571428"/>
  </r>
  <r>
    <d v="2024-03-31T00:00:00"/>
    <x v="2"/>
    <x v="6"/>
    <x v="3"/>
    <n v="50"/>
    <n v="49"/>
    <n v="9898"/>
    <n v="3944"/>
    <x v="4"/>
    <n v="5954"/>
    <n v="121.51020408163265"/>
  </r>
  <r>
    <d v="2024-04-01T00:00:00"/>
    <x v="3"/>
    <x v="1"/>
    <x v="0"/>
    <n v="35"/>
    <n v="23"/>
    <n v="8326"/>
    <n v="2230"/>
    <x v="4"/>
    <n v="6096"/>
    <n v="265.04347826086956"/>
  </r>
  <r>
    <d v="2024-04-02T00:00:00"/>
    <x v="3"/>
    <x v="3"/>
    <x v="2"/>
    <n v="110"/>
    <n v="24"/>
    <n v="5400"/>
    <n v="2153"/>
    <x v="4"/>
    <n v="3247"/>
    <n v="135.29166666666666"/>
  </r>
  <r>
    <d v="2024-04-03T00:00:00"/>
    <x v="3"/>
    <x v="5"/>
    <x v="1"/>
    <n v="38"/>
    <n v="37"/>
    <n v="15059"/>
    <n v="7011"/>
    <x v="1"/>
    <n v="8048"/>
    <n v="217.51351351351352"/>
  </r>
  <r>
    <d v="2024-04-04T00:00:00"/>
    <x v="3"/>
    <x v="3"/>
    <x v="2"/>
    <n v="92"/>
    <n v="91"/>
    <n v="27482"/>
    <n v="12482"/>
    <x v="1"/>
    <n v="15000"/>
    <n v="164.83516483516485"/>
  </r>
  <r>
    <d v="2024-04-05T00:00:00"/>
    <x v="3"/>
    <x v="0"/>
    <x v="0"/>
    <n v="87"/>
    <n v="57"/>
    <n v="10317"/>
    <n v="4425"/>
    <x v="3"/>
    <n v="5892"/>
    <n v="103.36842105263158"/>
  </r>
  <r>
    <d v="2024-04-06T00:00:00"/>
    <x v="3"/>
    <x v="1"/>
    <x v="0"/>
    <n v="21"/>
    <n v="17"/>
    <n v="7684"/>
    <n v="1954"/>
    <x v="4"/>
    <n v="5730"/>
    <n v="337.05882352941177"/>
  </r>
  <r>
    <d v="2024-04-07T00:00:00"/>
    <x v="3"/>
    <x v="4"/>
    <x v="1"/>
    <n v="96"/>
    <n v="75"/>
    <n v="16500"/>
    <n v="4511"/>
    <x v="3"/>
    <n v="11989"/>
    <n v="159.85333333333332"/>
  </r>
  <r>
    <d v="2024-04-08T00:00:00"/>
    <x v="3"/>
    <x v="3"/>
    <x v="2"/>
    <n v="73"/>
    <n v="26"/>
    <n v="3016"/>
    <n v="1254"/>
    <x v="2"/>
    <n v="1762"/>
    <n v="67.769230769230774"/>
  </r>
  <r>
    <d v="2024-04-09T00:00:00"/>
    <x v="3"/>
    <x v="3"/>
    <x v="2"/>
    <n v="73"/>
    <n v="16"/>
    <n v="1856"/>
    <n v="455"/>
    <x v="4"/>
    <n v="1401"/>
    <n v="87.5625"/>
  </r>
  <r>
    <d v="2024-04-10T00:00:00"/>
    <x v="3"/>
    <x v="4"/>
    <x v="1"/>
    <n v="31"/>
    <n v="30"/>
    <n v="4620"/>
    <n v="1478"/>
    <x v="4"/>
    <n v="3142"/>
    <n v="104.73333333333333"/>
  </r>
  <r>
    <d v="2024-04-11T00:00:00"/>
    <x v="3"/>
    <x v="5"/>
    <x v="1"/>
    <n v="57"/>
    <n v="20"/>
    <n v="7940"/>
    <n v="3842"/>
    <x v="4"/>
    <n v="4098"/>
    <n v="204.9"/>
  </r>
  <r>
    <d v="2024-04-12T00:00:00"/>
    <x v="3"/>
    <x v="4"/>
    <x v="1"/>
    <n v="30"/>
    <n v="17"/>
    <n v="3587"/>
    <n v="841"/>
    <x v="4"/>
    <n v="2746"/>
    <n v="161.52941176470588"/>
  </r>
  <r>
    <d v="2024-04-13T00:00:00"/>
    <x v="3"/>
    <x v="1"/>
    <x v="0"/>
    <n v="46"/>
    <n v="21"/>
    <n v="8673"/>
    <n v="2169"/>
    <x v="3"/>
    <n v="6504"/>
    <n v="309.71428571428572"/>
  </r>
  <r>
    <d v="2024-04-14T00:00:00"/>
    <x v="3"/>
    <x v="6"/>
    <x v="3"/>
    <n v="109"/>
    <n v="86"/>
    <n v="33540"/>
    <n v="7993"/>
    <x v="3"/>
    <n v="25547"/>
    <n v="297.05813953488371"/>
  </r>
  <r>
    <d v="2024-04-15T00:00:00"/>
    <x v="3"/>
    <x v="3"/>
    <x v="2"/>
    <n v="61"/>
    <n v="52"/>
    <n v="17680"/>
    <n v="4783"/>
    <x v="1"/>
    <n v="12897"/>
    <n v="248.01923076923077"/>
  </r>
  <r>
    <d v="2024-04-16T00:00:00"/>
    <x v="3"/>
    <x v="3"/>
    <x v="2"/>
    <n v="88"/>
    <n v="40"/>
    <n v="10440"/>
    <n v="2913"/>
    <x v="0"/>
    <n v="7527"/>
    <n v="188.17500000000001"/>
  </r>
  <r>
    <d v="2024-04-17T00:00:00"/>
    <x v="3"/>
    <x v="0"/>
    <x v="0"/>
    <n v="39"/>
    <n v="31"/>
    <n v="11532"/>
    <n v="3514"/>
    <x v="4"/>
    <n v="8018"/>
    <n v="258.64516129032256"/>
  </r>
  <r>
    <d v="2024-04-18T00:00:00"/>
    <x v="3"/>
    <x v="0"/>
    <x v="0"/>
    <n v="31"/>
    <n v="21"/>
    <n v="8925"/>
    <n v="3693"/>
    <x v="1"/>
    <n v="5232"/>
    <n v="249.14285714285714"/>
  </r>
  <r>
    <d v="2024-04-19T00:00:00"/>
    <x v="3"/>
    <x v="1"/>
    <x v="0"/>
    <n v="21"/>
    <n v="21"/>
    <n v="9660"/>
    <n v="2656"/>
    <x v="4"/>
    <n v="7004"/>
    <n v="333.52380952380952"/>
  </r>
  <r>
    <d v="2024-04-20T00:00:00"/>
    <x v="3"/>
    <x v="0"/>
    <x v="0"/>
    <n v="29"/>
    <n v="28"/>
    <n v="4088"/>
    <n v="1463"/>
    <x v="4"/>
    <n v="2625"/>
    <n v="93.75"/>
  </r>
  <r>
    <d v="2024-04-21T00:00:00"/>
    <x v="3"/>
    <x v="6"/>
    <x v="3"/>
    <n v="47"/>
    <n v="35"/>
    <n v="16485"/>
    <n v="4008"/>
    <x v="2"/>
    <n v="12477"/>
    <n v="356.48571428571427"/>
  </r>
  <r>
    <d v="2024-04-22T00:00:00"/>
    <x v="3"/>
    <x v="0"/>
    <x v="0"/>
    <n v="61"/>
    <n v="58"/>
    <n v="27028"/>
    <n v="10777"/>
    <x v="3"/>
    <n v="16251"/>
    <n v="280.18965517241378"/>
  </r>
  <r>
    <d v="2024-04-23T00:00:00"/>
    <x v="3"/>
    <x v="5"/>
    <x v="1"/>
    <n v="114"/>
    <n v="40"/>
    <n v="16160"/>
    <n v="7283"/>
    <x v="4"/>
    <n v="8877"/>
    <n v="221.92500000000001"/>
  </r>
  <r>
    <d v="2024-04-24T00:00:00"/>
    <x v="3"/>
    <x v="6"/>
    <x v="3"/>
    <n v="56"/>
    <n v="30"/>
    <n v="5130"/>
    <n v="1091"/>
    <x v="3"/>
    <n v="4039"/>
    <n v="134.63333333333333"/>
  </r>
  <r>
    <d v="2024-04-25T00:00:00"/>
    <x v="3"/>
    <x v="1"/>
    <x v="0"/>
    <n v="88"/>
    <n v="87"/>
    <n v="16356"/>
    <n v="4146"/>
    <x v="0"/>
    <n v="12210"/>
    <n v="140.34482758620689"/>
  </r>
  <r>
    <d v="2024-04-26T00:00:00"/>
    <x v="3"/>
    <x v="2"/>
    <x v="1"/>
    <n v="71"/>
    <n v="39"/>
    <n v="10764"/>
    <n v="5334"/>
    <x v="0"/>
    <n v="5430"/>
    <n v="139.23076923076923"/>
  </r>
  <r>
    <d v="2024-04-27T00:00:00"/>
    <x v="3"/>
    <x v="1"/>
    <x v="0"/>
    <n v="109"/>
    <n v="78"/>
    <n v="15912"/>
    <n v="7126"/>
    <x v="2"/>
    <n v="8786"/>
    <n v="112.64102564102564"/>
  </r>
  <r>
    <d v="2024-04-28T00:00:00"/>
    <x v="3"/>
    <x v="3"/>
    <x v="2"/>
    <n v="89"/>
    <n v="28"/>
    <n v="4452"/>
    <n v="1154"/>
    <x v="2"/>
    <n v="3298"/>
    <n v="117.78571428571429"/>
  </r>
  <r>
    <d v="2024-04-29T00:00:00"/>
    <x v="3"/>
    <x v="4"/>
    <x v="1"/>
    <n v="38"/>
    <n v="20"/>
    <n v="2960"/>
    <n v="1056"/>
    <x v="1"/>
    <n v="1904"/>
    <n v="95.2"/>
  </r>
  <r>
    <d v="2024-04-30T00:00:00"/>
    <x v="3"/>
    <x v="2"/>
    <x v="1"/>
    <n v="83"/>
    <n v="59"/>
    <n v="7906"/>
    <n v="2057"/>
    <x v="4"/>
    <n v="5849"/>
    <n v="99.13559322033899"/>
  </r>
  <r>
    <d v="2024-05-01T00:00:00"/>
    <x v="4"/>
    <x v="0"/>
    <x v="0"/>
    <n v="48"/>
    <n v="27"/>
    <n v="9369"/>
    <n v="4638"/>
    <x v="0"/>
    <n v="4731"/>
    <n v="175.22222222222223"/>
  </r>
  <r>
    <d v="2024-05-02T00:00:00"/>
    <x v="4"/>
    <x v="2"/>
    <x v="1"/>
    <n v="97"/>
    <n v="70"/>
    <n v="14630"/>
    <n v="5826"/>
    <x v="1"/>
    <n v="8804"/>
    <n v="125.77142857142857"/>
  </r>
  <r>
    <d v="2024-05-03T00:00:00"/>
    <x v="4"/>
    <x v="3"/>
    <x v="2"/>
    <n v="34"/>
    <n v="21"/>
    <n v="8904"/>
    <n v="3184"/>
    <x v="2"/>
    <n v="5720"/>
    <n v="272.38095238095241"/>
  </r>
  <r>
    <d v="2024-05-04T00:00:00"/>
    <x v="4"/>
    <x v="5"/>
    <x v="1"/>
    <n v="109"/>
    <n v="97"/>
    <n v="46172"/>
    <n v="14936"/>
    <x v="1"/>
    <n v="31236"/>
    <n v="322.02061855670104"/>
  </r>
  <r>
    <d v="2024-05-05T00:00:00"/>
    <x v="4"/>
    <x v="0"/>
    <x v="0"/>
    <n v="85"/>
    <n v="48"/>
    <n v="20592"/>
    <n v="6546"/>
    <x v="2"/>
    <n v="14046"/>
    <n v="292.625"/>
  </r>
  <r>
    <d v="2024-05-06T00:00:00"/>
    <x v="4"/>
    <x v="6"/>
    <x v="3"/>
    <n v="23"/>
    <n v="11"/>
    <n v="2420"/>
    <n v="768"/>
    <x v="1"/>
    <n v="1652"/>
    <n v="150.18181818181819"/>
  </r>
  <r>
    <d v="2024-05-07T00:00:00"/>
    <x v="4"/>
    <x v="6"/>
    <x v="3"/>
    <n v="80"/>
    <n v="13"/>
    <n v="5018"/>
    <n v="2412"/>
    <x v="2"/>
    <n v="2606"/>
    <n v="200.46153846153845"/>
  </r>
  <r>
    <d v="2024-05-08T00:00:00"/>
    <x v="4"/>
    <x v="3"/>
    <x v="2"/>
    <n v="42"/>
    <n v="36"/>
    <n v="17316"/>
    <n v="7946"/>
    <x v="1"/>
    <n v="9370"/>
    <n v="260.27777777777777"/>
  </r>
  <r>
    <d v="2024-05-09T00:00:00"/>
    <x v="4"/>
    <x v="3"/>
    <x v="2"/>
    <n v="86"/>
    <n v="40"/>
    <n v="17440"/>
    <n v="6665"/>
    <x v="1"/>
    <n v="10775"/>
    <n v="269.375"/>
  </r>
  <r>
    <d v="2024-05-10T00:00:00"/>
    <x v="4"/>
    <x v="5"/>
    <x v="1"/>
    <n v="86"/>
    <n v="27"/>
    <n v="12609"/>
    <n v="5657"/>
    <x v="4"/>
    <n v="6952"/>
    <n v="257.48148148148147"/>
  </r>
  <r>
    <d v="2024-05-11T00:00:00"/>
    <x v="4"/>
    <x v="5"/>
    <x v="1"/>
    <n v="119"/>
    <n v="42"/>
    <n v="4326"/>
    <n v="1832"/>
    <x v="4"/>
    <n v="2494"/>
    <n v="59.38095238095238"/>
  </r>
  <r>
    <d v="2024-05-12T00:00:00"/>
    <x v="4"/>
    <x v="5"/>
    <x v="1"/>
    <n v="39"/>
    <n v="26"/>
    <n v="8762"/>
    <n v="4058"/>
    <x v="1"/>
    <n v="4704"/>
    <n v="180.92307692307693"/>
  </r>
  <r>
    <d v="2024-05-13T00:00:00"/>
    <x v="4"/>
    <x v="6"/>
    <x v="3"/>
    <n v="58"/>
    <n v="42"/>
    <n v="13566"/>
    <n v="3248"/>
    <x v="0"/>
    <n v="10318"/>
    <n v="245.66666666666666"/>
  </r>
  <r>
    <d v="2024-05-14T00:00:00"/>
    <x v="4"/>
    <x v="1"/>
    <x v="0"/>
    <n v="113"/>
    <n v="93"/>
    <n v="38130"/>
    <n v="13631"/>
    <x v="3"/>
    <n v="24499"/>
    <n v="263.43010752688173"/>
  </r>
  <r>
    <d v="2024-05-15T00:00:00"/>
    <x v="4"/>
    <x v="4"/>
    <x v="1"/>
    <n v="40"/>
    <n v="29"/>
    <n v="11542"/>
    <n v="4221"/>
    <x v="4"/>
    <n v="7321"/>
    <n v="252.44827586206895"/>
  </r>
  <r>
    <d v="2024-05-16T00:00:00"/>
    <x v="4"/>
    <x v="2"/>
    <x v="1"/>
    <n v="36"/>
    <n v="16"/>
    <n v="6384"/>
    <n v="2370"/>
    <x v="3"/>
    <n v="4014"/>
    <n v="250.875"/>
  </r>
  <r>
    <d v="2024-05-17T00:00:00"/>
    <x v="4"/>
    <x v="2"/>
    <x v="1"/>
    <n v="66"/>
    <n v="27"/>
    <n v="2727"/>
    <n v="556"/>
    <x v="4"/>
    <n v="2171"/>
    <n v="80.407407407407405"/>
  </r>
  <r>
    <d v="2024-05-18T00:00:00"/>
    <x v="4"/>
    <x v="3"/>
    <x v="2"/>
    <n v="103"/>
    <n v="77"/>
    <n v="37499"/>
    <n v="18737"/>
    <x v="2"/>
    <n v="18762"/>
    <n v="243.66233766233765"/>
  </r>
  <r>
    <d v="2024-05-19T00:00:00"/>
    <x v="4"/>
    <x v="3"/>
    <x v="2"/>
    <n v="57"/>
    <n v="56"/>
    <n v="24304"/>
    <n v="6093"/>
    <x v="0"/>
    <n v="18211"/>
    <n v="325.19642857142856"/>
  </r>
  <r>
    <d v="2024-05-20T00:00:00"/>
    <x v="4"/>
    <x v="1"/>
    <x v="0"/>
    <n v="86"/>
    <n v="61"/>
    <n v="19215"/>
    <n v="4911"/>
    <x v="2"/>
    <n v="14304"/>
    <n v="234.49180327868854"/>
  </r>
  <r>
    <d v="2024-05-21T00:00:00"/>
    <x v="4"/>
    <x v="6"/>
    <x v="3"/>
    <n v="94"/>
    <n v="56"/>
    <n v="15232"/>
    <n v="4133"/>
    <x v="4"/>
    <n v="11099"/>
    <n v="198.19642857142858"/>
  </r>
  <r>
    <d v="2024-05-22T00:00:00"/>
    <x v="4"/>
    <x v="6"/>
    <x v="3"/>
    <n v="31"/>
    <n v="19"/>
    <n v="8949"/>
    <n v="3153"/>
    <x v="4"/>
    <n v="5796"/>
    <n v="305.05263157894734"/>
  </r>
  <r>
    <d v="2024-05-23T00:00:00"/>
    <x v="4"/>
    <x v="4"/>
    <x v="1"/>
    <n v="96"/>
    <n v="21"/>
    <n v="5649"/>
    <n v="2219"/>
    <x v="1"/>
    <n v="3430"/>
    <n v="163.33333333333334"/>
  </r>
  <r>
    <d v="2024-05-24T00:00:00"/>
    <x v="4"/>
    <x v="5"/>
    <x v="1"/>
    <n v="100"/>
    <n v="72"/>
    <n v="17712"/>
    <n v="4019"/>
    <x v="3"/>
    <n v="13693"/>
    <n v="190.18055555555554"/>
  </r>
  <r>
    <d v="2024-05-25T00:00:00"/>
    <x v="4"/>
    <x v="0"/>
    <x v="0"/>
    <n v="28"/>
    <n v="27"/>
    <n v="7290"/>
    <n v="3636"/>
    <x v="2"/>
    <n v="3654"/>
    <n v="135.33333333333334"/>
  </r>
  <r>
    <d v="2024-05-26T00:00:00"/>
    <x v="4"/>
    <x v="4"/>
    <x v="1"/>
    <n v="98"/>
    <n v="17"/>
    <n v="5372"/>
    <n v="1892"/>
    <x v="2"/>
    <n v="3480"/>
    <n v="204.70588235294119"/>
  </r>
  <r>
    <d v="2024-05-27T00:00:00"/>
    <x v="4"/>
    <x v="3"/>
    <x v="2"/>
    <n v="72"/>
    <n v="14"/>
    <n v="2534"/>
    <n v="989"/>
    <x v="4"/>
    <n v="1545"/>
    <n v="110.35714285714286"/>
  </r>
  <r>
    <d v="2024-05-28T00:00:00"/>
    <x v="4"/>
    <x v="1"/>
    <x v="0"/>
    <n v="67"/>
    <n v="12"/>
    <n v="5988"/>
    <n v="2849"/>
    <x v="3"/>
    <n v="3139"/>
    <n v="261.58333333333331"/>
  </r>
  <r>
    <d v="2024-05-29T00:00:00"/>
    <x v="4"/>
    <x v="4"/>
    <x v="1"/>
    <n v="109"/>
    <n v="31"/>
    <n v="7502"/>
    <n v="2801"/>
    <x v="4"/>
    <n v="4701"/>
    <n v="151.64516129032259"/>
  </r>
  <r>
    <d v="2024-05-30T00:00:00"/>
    <x v="4"/>
    <x v="4"/>
    <x v="1"/>
    <n v="54"/>
    <n v="49"/>
    <n v="15092"/>
    <n v="3843"/>
    <x v="4"/>
    <n v="11249"/>
    <n v="229.57142857142858"/>
  </r>
  <r>
    <d v="2024-05-31T00:00:00"/>
    <x v="4"/>
    <x v="4"/>
    <x v="1"/>
    <n v="80"/>
    <n v="37"/>
    <n v="17205"/>
    <n v="5934"/>
    <x v="2"/>
    <n v="11271"/>
    <n v="304.62162162162161"/>
  </r>
  <r>
    <d v="2024-06-01T00:00:00"/>
    <x v="5"/>
    <x v="3"/>
    <x v="2"/>
    <n v="25"/>
    <n v="23"/>
    <n v="2415"/>
    <n v="1185"/>
    <x v="2"/>
    <n v="1230"/>
    <n v="53.478260869565219"/>
  </r>
  <r>
    <d v="2024-06-02T00:00:00"/>
    <x v="5"/>
    <x v="3"/>
    <x v="2"/>
    <n v="27"/>
    <n v="15"/>
    <n v="5235"/>
    <n v="2598"/>
    <x v="0"/>
    <n v="2637"/>
    <n v="175.8"/>
  </r>
  <r>
    <d v="2024-06-03T00:00:00"/>
    <x v="5"/>
    <x v="4"/>
    <x v="1"/>
    <n v="43"/>
    <n v="19"/>
    <n v="7391"/>
    <n v="2587"/>
    <x v="1"/>
    <n v="4804"/>
    <n v="252.84210526315789"/>
  </r>
  <r>
    <d v="2024-06-04T00:00:00"/>
    <x v="5"/>
    <x v="4"/>
    <x v="1"/>
    <n v="86"/>
    <n v="44"/>
    <n v="21604"/>
    <n v="9856"/>
    <x v="2"/>
    <n v="11748"/>
    <n v="267"/>
  </r>
  <r>
    <d v="2024-06-05T00:00:00"/>
    <x v="5"/>
    <x v="5"/>
    <x v="1"/>
    <n v="59"/>
    <n v="14"/>
    <n v="4228"/>
    <n v="1487"/>
    <x v="0"/>
    <n v="2741"/>
    <n v="195.78571428571428"/>
  </r>
  <r>
    <d v="2024-06-06T00:00:00"/>
    <x v="5"/>
    <x v="4"/>
    <x v="1"/>
    <n v="87"/>
    <n v="73"/>
    <n v="23725"/>
    <n v="8606"/>
    <x v="4"/>
    <n v="15119"/>
    <n v="207.10958904109589"/>
  </r>
  <r>
    <d v="2024-06-07T00:00:00"/>
    <x v="5"/>
    <x v="2"/>
    <x v="1"/>
    <n v="119"/>
    <n v="47"/>
    <n v="9729"/>
    <n v="4782"/>
    <x v="4"/>
    <n v="4947"/>
    <n v="105.25531914893617"/>
  </r>
  <r>
    <d v="2024-06-08T00:00:00"/>
    <x v="5"/>
    <x v="5"/>
    <x v="1"/>
    <n v="70"/>
    <n v="61"/>
    <n v="27145"/>
    <n v="13241"/>
    <x v="0"/>
    <n v="13904"/>
    <n v="227.9344262295082"/>
  </r>
  <r>
    <d v="2024-06-09T00:00:00"/>
    <x v="5"/>
    <x v="0"/>
    <x v="0"/>
    <n v="81"/>
    <n v="50"/>
    <n v="8700"/>
    <n v="3076"/>
    <x v="3"/>
    <n v="5624"/>
    <n v="112.48"/>
  </r>
  <r>
    <d v="2024-06-10T00:00:00"/>
    <x v="5"/>
    <x v="4"/>
    <x v="1"/>
    <n v="79"/>
    <n v="58"/>
    <n v="17748"/>
    <n v="6089"/>
    <x v="0"/>
    <n v="11659"/>
    <n v="201.01724137931035"/>
  </r>
  <r>
    <d v="2024-06-11T00:00:00"/>
    <x v="5"/>
    <x v="6"/>
    <x v="3"/>
    <n v="44"/>
    <n v="39"/>
    <n v="17667"/>
    <n v="5083"/>
    <x v="3"/>
    <n v="12584"/>
    <n v="322.66666666666669"/>
  </r>
  <r>
    <d v="2024-06-12T00:00:00"/>
    <x v="5"/>
    <x v="1"/>
    <x v="0"/>
    <n v="27"/>
    <n v="17"/>
    <n v="4301"/>
    <n v="1484"/>
    <x v="1"/>
    <n v="2817"/>
    <n v="165.70588235294119"/>
  </r>
  <r>
    <d v="2024-06-13T00:00:00"/>
    <x v="5"/>
    <x v="0"/>
    <x v="0"/>
    <n v="69"/>
    <n v="63"/>
    <n v="13797"/>
    <n v="3798"/>
    <x v="3"/>
    <n v="9999"/>
    <n v="158.71428571428572"/>
  </r>
  <r>
    <d v="2024-06-14T00:00:00"/>
    <x v="5"/>
    <x v="1"/>
    <x v="0"/>
    <n v="94"/>
    <n v="47"/>
    <n v="15040"/>
    <n v="6695"/>
    <x v="0"/>
    <n v="8345"/>
    <n v="177.55319148936169"/>
  </r>
  <r>
    <d v="2024-06-15T00:00:00"/>
    <x v="5"/>
    <x v="0"/>
    <x v="0"/>
    <n v="78"/>
    <n v="55"/>
    <n v="18040"/>
    <n v="7534"/>
    <x v="4"/>
    <n v="10506"/>
    <n v="191.01818181818183"/>
  </r>
  <r>
    <d v="2024-06-16T00:00:00"/>
    <x v="5"/>
    <x v="4"/>
    <x v="1"/>
    <n v="120"/>
    <n v="35"/>
    <n v="9415"/>
    <n v="4074"/>
    <x v="4"/>
    <n v="5341"/>
    <n v="152.6"/>
  </r>
  <r>
    <d v="2024-06-17T00:00:00"/>
    <x v="5"/>
    <x v="5"/>
    <x v="1"/>
    <n v="48"/>
    <n v="38"/>
    <n v="6194"/>
    <n v="2668"/>
    <x v="0"/>
    <n v="3526"/>
    <n v="92.78947368421052"/>
  </r>
  <r>
    <d v="2024-06-18T00:00:00"/>
    <x v="5"/>
    <x v="6"/>
    <x v="3"/>
    <n v="90"/>
    <n v="26"/>
    <n v="6760"/>
    <n v="2998"/>
    <x v="1"/>
    <n v="3762"/>
    <n v="144.69230769230768"/>
  </r>
  <r>
    <d v="2024-06-19T00:00:00"/>
    <x v="5"/>
    <x v="2"/>
    <x v="1"/>
    <n v="77"/>
    <n v="48"/>
    <n v="20976"/>
    <n v="4737"/>
    <x v="2"/>
    <n v="16239"/>
    <n v="338.3125"/>
  </r>
  <r>
    <d v="2024-06-20T00:00:00"/>
    <x v="5"/>
    <x v="2"/>
    <x v="1"/>
    <n v="101"/>
    <n v="52"/>
    <n v="21372"/>
    <n v="5836"/>
    <x v="0"/>
    <n v="15536"/>
    <n v="298.76923076923077"/>
  </r>
  <r>
    <d v="2024-06-21T00:00:00"/>
    <x v="5"/>
    <x v="4"/>
    <x v="1"/>
    <n v="85"/>
    <n v="32"/>
    <n v="3392"/>
    <n v="1467"/>
    <x v="3"/>
    <n v="1925"/>
    <n v="60.15625"/>
  </r>
  <r>
    <d v="2024-06-22T00:00:00"/>
    <x v="5"/>
    <x v="0"/>
    <x v="0"/>
    <n v="40"/>
    <n v="30"/>
    <n v="9390"/>
    <n v="2838"/>
    <x v="3"/>
    <n v="6552"/>
    <n v="218.4"/>
  </r>
  <r>
    <d v="2024-06-23T00:00:00"/>
    <x v="5"/>
    <x v="2"/>
    <x v="1"/>
    <n v="77"/>
    <n v="53"/>
    <n v="10335"/>
    <n v="2527"/>
    <x v="3"/>
    <n v="7808"/>
    <n v="147.32075471698113"/>
  </r>
  <r>
    <d v="2024-06-24T00:00:00"/>
    <x v="5"/>
    <x v="3"/>
    <x v="2"/>
    <n v="27"/>
    <n v="20"/>
    <n v="9360"/>
    <n v="2659"/>
    <x v="2"/>
    <n v="6701"/>
    <n v="335.05"/>
  </r>
  <r>
    <d v="2024-06-25T00:00:00"/>
    <x v="5"/>
    <x v="4"/>
    <x v="1"/>
    <n v="54"/>
    <n v="36"/>
    <n v="16884"/>
    <n v="5664"/>
    <x v="0"/>
    <n v="11220"/>
    <n v="311.66666666666669"/>
  </r>
  <r>
    <d v="2024-06-26T00:00:00"/>
    <x v="5"/>
    <x v="0"/>
    <x v="0"/>
    <n v="49"/>
    <n v="36"/>
    <n v="8820"/>
    <n v="3801"/>
    <x v="1"/>
    <n v="5019"/>
    <n v="139.41666666666666"/>
  </r>
  <r>
    <d v="2024-06-27T00:00:00"/>
    <x v="5"/>
    <x v="6"/>
    <x v="3"/>
    <n v="53"/>
    <n v="43"/>
    <n v="8815"/>
    <n v="3949"/>
    <x v="4"/>
    <n v="4866"/>
    <n v="113.16279069767442"/>
  </r>
  <r>
    <d v="2024-06-28T00:00:00"/>
    <x v="5"/>
    <x v="4"/>
    <x v="1"/>
    <n v="29"/>
    <n v="28"/>
    <n v="10444"/>
    <n v="4263"/>
    <x v="4"/>
    <n v="6181"/>
    <n v="220.75"/>
  </r>
  <r>
    <d v="2024-06-29T00:00:00"/>
    <x v="5"/>
    <x v="5"/>
    <x v="1"/>
    <n v="38"/>
    <n v="36"/>
    <n v="5868"/>
    <n v="2778"/>
    <x v="3"/>
    <n v="3090"/>
    <n v="85.833333333333329"/>
  </r>
  <r>
    <d v="2024-06-30T00:00:00"/>
    <x v="5"/>
    <x v="2"/>
    <x v="1"/>
    <n v="38"/>
    <n v="20"/>
    <n v="9840"/>
    <n v="4124"/>
    <x v="4"/>
    <n v="5716"/>
    <n v="285.8"/>
  </r>
  <r>
    <d v="2024-07-01T00:00:00"/>
    <x v="6"/>
    <x v="6"/>
    <x v="3"/>
    <n v="61"/>
    <n v="24"/>
    <n v="9648"/>
    <n v="2267"/>
    <x v="3"/>
    <n v="7381"/>
    <n v="307.54166666666669"/>
  </r>
  <r>
    <d v="2024-07-02T00:00:00"/>
    <x v="6"/>
    <x v="1"/>
    <x v="0"/>
    <n v="120"/>
    <n v="32"/>
    <n v="13984"/>
    <n v="4093"/>
    <x v="3"/>
    <n v="9891"/>
    <n v="309.09375"/>
  </r>
  <r>
    <d v="2024-07-03T00:00:00"/>
    <x v="6"/>
    <x v="2"/>
    <x v="1"/>
    <n v="109"/>
    <n v="14"/>
    <n v="5894"/>
    <n v="2201"/>
    <x v="4"/>
    <n v="3693"/>
    <n v="263.78571428571428"/>
  </r>
  <r>
    <d v="2024-07-04T00:00:00"/>
    <x v="6"/>
    <x v="2"/>
    <x v="1"/>
    <n v="44"/>
    <n v="27"/>
    <n v="4131"/>
    <n v="1531"/>
    <x v="0"/>
    <n v="2600"/>
    <n v="96.296296296296291"/>
  </r>
  <r>
    <d v="2024-07-05T00:00:00"/>
    <x v="6"/>
    <x v="0"/>
    <x v="0"/>
    <n v="111"/>
    <n v="56"/>
    <n v="14280"/>
    <n v="5156"/>
    <x v="3"/>
    <n v="9124"/>
    <n v="162.92857142857142"/>
  </r>
  <r>
    <d v="2024-07-06T00:00:00"/>
    <x v="6"/>
    <x v="2"/>
    <x v="1"/>
    <n v="27"/>
    <n v="17"/>
    <n v="4947"/>
    <n v="1109"/>
    <x v="0"/>
    <n v="3838"/>
    <n v="225.76470588235293"/>
  </r>
  <r>
    <d v="2024-07-07T00:00:00"/>
    <x v="6"/>
    <x v="0"/>
    <x v="0"/>
    <n v="23"/>
    <n v="14"/>
    <n v="3612"/>
    <n v="1467"/>
    <x v="4"/>
    <n v="2145"/>
    <n v="153.21428571428572"/>
  </r>
  <r>
    <d v="2024-07-08T00:00:00"/>
    <x v="6"/>
    <x v="5"/>
    <x v="1"/>
    <n v="100"/>
    <n v="26"/>
    <n v="3354"/>
    <n v="1551"/>
    <x v="0"/>
    <n v="1803"/>
    <n v="69.34615384615384"/>
  </r>
  <r>
    <d v="2024-07-09T00:00:00"/>
    <x v="6"/>
    <x v="6"/>
    <x v="3"/>
    <n v="52"/>
    <n v="12"/>
    <n v="4284"/>
    <n v="2078"/>
    <x v="3"/>
    <n v="2206"/>
    <n v="183.83333333333334"/>
  </r>
  <r>
    <d v="2024-07-10T00:00:00"/>
    <x v="6"/>
    <x v="3"/>
    <x v="2"/>
    <n v="70"/>
    <n v="14"/>
    <n v="6034"/>
    <n v="1732"/>
    <x v="2"/>
    <n v="4302"/>
    <n v="307.28571428571428"/>
  </r>
  <r>
    <d v="2024-07-11T00:00:00"/>
    <x v="6"/>
    <x v="4"/>
    <x v="1"/>
    <n v="91"/>
    <n v="23"/>
    <n v="4922"/>
    <n v="1609"/>
    <x v="1"/>
    <n v="3313"/>
    <n v="144.04347826086956"/>
  </r>
  <r>
    <d v="2024-07-12T00:00:00"/>
    <x v="6"/>
    <x v="0"/>
    <x v="0"/>
    <n v="120"/>
    <n v="101"/>
    <n v="17675"/>
    <n v="6528"/>
    <x v="0"/>
    <n v="11147"/>
    <n v="110.36633663366337"/>
  </r>
  <r>
    <d v="2024-07-13T00:00:00"/>
    <x v="6"/>
    <x v="4"/>
    <x v="1"/>
    <n v="91"/>
    <n v="87"/>
    <n v="16704"/>
    <n v="4781"/>
    <x v="1"/>
    <n v="11923"/>
    <n v="137.04597701149424"/>
  </r>
  <r>
    <d v="2024-07-14T00:00:00"/>
    <x v="6"/>
    <x v="1"/>
    <x v="0"/>
    <n v="63"/>
    <n v="14"/>
    <n v="5446"/>
    <n v="1865"/>
    <x v="2"/>
    <n v="3581"/>
    <n v="255.78571428571428"/>
  </r>
  <r>
    <d v="2024-07-15T00:00:00"/>
    <x v="6"/>
    <x v="5"/>
    <x v="1"/>
    <n v="56"/>
    <n v="37"/>
    <n v="9028"/>
    <n v="3683"/>
    <x v="3"/>
    <n v="5345"/>
    <n v="144.45945945945945"/>
  </r>
  <r>
    <d v="2024-07-16T00:00:00"/>
    <x v="6"/>
    <x v="1"/>
    <x v="0"/>
    <n v="85"/>
    <n v="78"/>
    <n v="31746"/>
    <n v="15099"/>
    <x v="1"/>
    <n v="16647"/>
    <n v="213.42307692307693"/>
  </r>
  <r>
    <d v="2024-07-17T00:00:00"/>
    <x v="6"/>
    <x v="5"/>
    <x v="1"/>
    <n v="77"/>
    <n v="75"/>
    <n v="34950"/>
    <n v="10035"/>
    <x v="0"/>
    <n v="24915"/>
    <n v="332.2"/>
  </r>
  <r>
    <d v="2024-07-18T00:00:00"/>
    <x v="6"/>
    <x v="2"/>
    <x v="1"/>
    <n v="118"/>
    <n v="92"/>
    <n v="25576"/>
    <n v="10794"/>
    <x v="4"/>
    <n v="14782"/>
    <n v="160.67391304347825"/>
  </r>
  <r>
    <d v="2024-07-19T00:00:00"/>
    <x v="6"/>
    <x v="4"/>
    <x v="1"/>
    <n v="28"/>
    <n v="17"/>
    <n v="8177"/>
    <n v="1804"/>
    <x v="2"/>
    <n v="6373"/>
    <n v="374.88235294117646"/>
  </r>
  <r>
    <d v="2024-07-20T00:00:00"/>
    <x v="6"/>
    <x v="4"/>
    <x v="1"/>
    <n v="50"/>
    <n v="29"/>
    <n v="3799"/>
    <n v="1886"/>
    <x v="0"/>
    <n v="1913"/>
    <n v="65.965517241379317"/>
  </r>
  <r>
    <d v="2024-07-21T00:00:00"/>
    <x v="6"/>
    <x v="6"/>
    <x v="3"/>
    <n v="20"/>
    <n v="17"/>
    <n v="7327"/>
    <n v="1761"/>
    <x v="3"/>
    <n v="5566"/>
    <n v="327.41176470588238"/>
  </r>
  <r>
    <d v="2024-07-22T00:00:00"/>
    <x v="6"/>
    <x v="3"/>
    <x v="2"/>
    <n v="106"/>
    <n v="91"/>
    <n v="27573"/>
    <n v="7134"/>
    <x v="2"/>
    <n v="20439"/>
    <n v="224.60439560439559"/>
  </r>
  <r>
    <d v="2024-07-23T00:00:00"/>
    <x v="6"/>
    <x v="5"/>
    <x v="1"/>
    <n v="86"/>
    <n v="40"/>
    <n v="18520"/>
    <n v="4249"/>
    <x v="4"/>
    <n v="14271"/>
    <n v="356.77499999999998"/>
  </r>
  <r>
    <d v="2024-07-24T00:00:00"/>
    <x v="6"/>
    <x v="4"/>
    <x v="1"/>
    <n v="20"/>
    <n v="10"/>
    <n v="3490"/>
    <n v="993"/>
    <x v="2"/>
    <n v="2497"/>
    <n v="249.7"/>
  </r>
  <r>
    <d v="2024-07-25T00:00:00"/>
    <x v="6"/>
    <x v="5"/>
    <x v="1"/>
    <n v="47"/>
    <n v="39"/>
    <n v="17160"/>
    <n v="7737"/>
    <x v="3"/>
    <n v="9423"/>
    <n v="241.61538461538461"/>
  </r>
  <r>
    <d v="2024-07-26T00:00:00"/>
    <x v="6"/>
    <x v="4"/>
    <x v="1"/>
    <n v="65"/>
    <n v="32"/>
    <n v="14400"/>
    <n v="4297"/>
    <x v="0"/>
    <n v="10103"/>
    <n v="315.71875"/>
  </r>
  <r>
    <d v="2024-07-27T00:00:00"/>
    <x v="6"/>
    <x v="6"/>
    <x v="3"/>
    <n v="29"/>
    <n v="12"/>
    <n v="1212"/>
    <n v="508"/>
    <x v="2"/>
    <n v="704"/>
    <n v="58.666666666666664"/>
  </r>
  <r>
    <d v="2024-07-28T00:00:00"/>
    <x v="6"/>
    <x v="4"/>
    <x v="1"/>
    <n v="74"/>
    <n v="15"/>
    <n v="4500"/>
    <n v="1779"/>
    <x v="4"/>
    <n v="2721"/>
    <n v="181.4"/>
  </r>
  <r>
    <d v="2024-07-29T00:00:00"/>
    <x v="6"/>
    <x v="5"/>
    <x v="1"/>
    <n v="76"/>
    <n v="20"/>
    <n v="8180"/>
    <n v="1826"/>
    <x v="0"/>
    <n v="6354"/>
    <n v="317.7"/>
  </r>
  <r>
    <d v="2024-07-30T00:00:00"/>
    <x v="6"/>
    <x v="4"/>
    <x v="1"/>
    <n v="39"/>
    <n v="15"/>
    <n v="4500"/>
    <n v="1853"/>
    <x v="4"/>
    <n v="2647"/>
    <n v="176.46666666666667"/>
  </r>
  <r>
    <d v="2024-07-31T00:00:00"/>
    <x v="6"/>
    <x v="6"/>
    <x v="3"/>
    <n v="89"/>
    <n v="73"/>
    <n v="33872"/>
    <n v="13555"/>
    <x v="0"/>
    <n v="20317"/>
    <n v="278.3150684931507"/>
  </r>
  <r>
    <d v="2024-08-01T00:00:00"/>
    <x v="7"/>
    <x v="2"/>
    <x v="1"/>
    <n v="45"/>
    <n v="37"/>
    <n v="5143"/>
    <n v="1281"/>
    <x v="0"/>
    <n v="3862"/>
    <n v="104.37837837837837"/>
  </r>
  <r>
    <d v="2024-08-02T00:00:00"/>
    <x v="7"/>
    <x v="5"/>
    <x v="1"/>
    <n v="85"/>
    <n v="25"/>
    <n v="10975"/>
    <n v="2330"/>
    <x v="0"/>
    <n v="8645"/>
    <n v="345.8"/>
  </r>
  <r>
    <d v="2024-08-03T00:00:00"/>
    <x v="7"/>
    <x v="6"/>
    <x v="3"/>
    <n v="42"/>
    <n v="17"/>
    <n v="6103"/>
    <n v="1527"/>
    <x v="4"/>
    <n v="4576"/>
    <n v="269.1764705882353"/>
  </r>
  <r>
    <d v="2024-08-04T00:00:00"/>
    <x v="7"/>
    <x v="6"/>
    <x v="3"/>
    <n v="72"/>
    <n v="15"/>
    <n v="5550"/>
    <n v="1370"/>
    <x v="4"/>
    <n v="4180"/>
    <n v="278.66666666666669"/>
  </r>
  <r>
    <d v="2024-08-05T00:00:00"/>
    <x v="7"/>
    <x v="6"/>
    <x v="3"/>
    <n v="97"/>
    <n v="57"/>
    <n v="11628"/>
    <n v="5235"/>
    <x v="4"/>
    <n v="6393"/>
    <n v="112.15789473684211"/>
  </r>
  <r>
    <d v="2024-08-06T00:00:00"/>
    <x v="7"/>
    <x v="4"/>
    <x v="1"/>
    <n v="53"/>
    <n v="26"/>
    <n v="9022"/>
    <n v="2671"/>
    <x v="3"/>
    <n v="6351"/>
    <n v="244.26923076923077"/>
  </r>
  <r>
    <d v="2024-08-07T00:00:00"/>
    <x v="7"/>
    <x v="0"/>
    <x v="0"/>
    <n v="80"/>
    <n v="20"/>
    <n v="2760"/>
    <n v="1306"/>
    <x v="3"/>
    <n v="1454"/>
    <n v="72.7"/>
  </r>
  <r>
    <d v="2024-08-08T00:00:00"/>
    <x v="7"/>
    <x v="5"/>
    <x v="1"/>
    <n v="73"/>
    <n v="24"/>
    <n v="10944"/>
    <n v="2336"/>
    <x v="4"/>
    <n v="8608"/>
    <n v="358.66666666666669"/>
  </r>
  <r>
    <d v="2024-08-09T00:00:00"/>
    <x v="7"/>
    <x v="4"/>
    <x v="1"/>
    <n v="87"/>
    <n v="12"/>
    <n v="3504"/>
    <n v="1717"/>
    <x v="0"/>
    <n v="1787"/>
    <n v="148.91666666666666"/>
  </r>
  <r>
    <d v="2024-08-10T00:00:00"/>
    <x v="7"/>
    <x v="2"/>
    <x v="1"/>
    <n v="94"/>
    <n v="32"/>
    <n v="4320"/>
    <n v="1537"/>
    <x v="4"/>
    <n v="2783"/>
    <n v="86.96875"/>
  </r>
  <r>
    <d v="2024-08-11T00:00:00"/>
    <x v="7"/>
    <x v="1"/>
    <x v="0"/>
    <n v="87"/>
    <n v="85"/>
    <n v="19465"/>
    <n v="8661"/>
    <x v="4"/>
    <n v="10804"/>
    <n v="127.10588235294118"/>
  </r>
  <r>
    <d v="2024-08-12T00:00:00"/>
    <x v="7"/>
    <x v="4"/>
    <x v="1"/>
    <n v="78"/>
    <n v="42"/>
    <n v="6468"/>
    <n v="2415"/>
    <x v="0"/>
    <n v="4053"/>
    <n v="96.5"/>
  </r>
  <r>
    <d v="2024-08-13T00:00:00"/>
    <x v="7"/>
    <x v="2"/>
    <x v="1"/>
    <n v="93"/>
    <n v="30"/>
    <n v="5010"/>
    <n v="2150"/>
    <x v="3"/>
    <n v="2860"/>
    <n v="95.333333333333329"/>
  </r>
  <r>
    <d v="2024-08-14T00:00:00"/>
    <x v="7"/>
    <x v="5"/>
    <x v="1"/>
    <n v="67"/>
    <n v="40"/>
    <n v="15800"/>
    <n v="6344"/>
    <x v="2"/>
    <n v="9456"/>
    <n v="236.4"/>
  </r>
  <r>
    <d v="2024-08-15T00:00:00"/>
    <x v="7"/>
    <x v="0"/>
    <x v="0"/>
    <n v="41"/>
    <n v="36"/>
    <n v="6984"/>
    <n v="2890"/>
    <x v="3"/>
    <n v="4094"/>
    <n v="113.72222222222223"/>
  </r>
  <r>
    <d v="2024-08-16T00:00:00"/>
    <x v="7"/>
    <x v="6"/>
    <x v="3"/>
    <n v="86"/>
    <n v="75"/>
    <n v="31725"/>
    <n v="7473"/>
    <x v="0"/>
    <n v="24252"/>
    <n v="323.36"/>
  </r>
  <r>
    <d v="2024-08-17T00:00:00"/>
    <x v="7"/>
    <x v="0"/>
    <x v="0"/>
    <n v="104"/>
    <n v="100"/>
    <n v="47100"/>
    <n v="15914"/>
    <x v="2"/>
    <n v="31186"/>
    <n v="311.86"/>
  </r>
  <r>
    <d v="2024-08-18T00:00:00"/>
    <x v="7"/>
    <x v="6"/>
    <x v="3"/>
    <n v="80"/>
    <n v="24"/>
    <n v="4080"/>
    <n v="1139"/>
    <x v="1"/>
    <n v="2941"/>
    <n v="122.54166666666667"/>
  </r>
  <r>
    <d v="2024-08-19T00:00:00"/>
    <x v="7"/>
    <x v="6"/>
    <x v="3"/>
    <n v="22"/>
    <n v="17"/>
    <n v="5610"/>
    <n v="1850"/>
    <x v="4"/>
    <n v="3760"/>
    <n v="221.1764705882353"/>
  </r>
  <r>
    <d v="2024-08-20T00:00:00"/>
    <x v="7"/>
    <x v="2"/>
    <x v="1"/>
    <n v="46"/>
    <n v="36"/>
    <n v="4428"/>
    <n v="1396"/>
    <x v="1"/>
    <n v="3032"/>
    <n v="84.222222222222229"/>
  </r>
  <r>
    <d v="2024-08-21T00:00:00"/>
    <x v="7"/>
    <x v="4"/>
    <x v="1"/>
    <n v="86"/>
    <n v="44"/>
    <n v="20240"/>
    <n v="9822"/>
    <x v="1"/>
    <n v="10418"/>
    <n v="236.77272727272728"/>
  </r>
  <r>
    <d v="2024-08-22T00:00:00"/>
    <x v="7"/>
    <x v="4"/>
    <x v="1"/>
    <n v="80"/>
    <n v="64"/>
    <n v="19520"/>
    <n v="9681"/>
    <x v="1"/>
    <n v="9839"/>
    <n v="153.734375"/>
  </r>
  <r>
    <d v="2024-08-23T00:00:00"/>
    <x v="7"/>
    <x v="2"/>
    <x v="1"/>
    <n v="86"/>
    <n v="68"/>
    <n v="15504"/>
    <n v="5424"/>
    <x v="2"/>
    <n v="10080"/>
    <n v="148.23529411764707"/>
  </r>
  <r>
    <d v="2024-08-24T00:00:00"/>
    <x v="7"/>
    <x v="0"/>
    <x v="0"/>
    <n v="49"/>
    <n v="38"/>
    <n v="17290"/>
    <n v="4343"/>
    <x v="3"/>
    <n v="12947"/>
    <n v="340.71052631578948"/>
  </r>
  <r>
    <d v="2024-08-25T00:00:00"/>
    <x v="7"/>
    <x v="2"/>
    <x v="1"/>
    <n v="95"/>
    <n v="70"/>
    <n v="34160"/>
    <n v="14845"/>
    <x v="2"/>
    <n v="19315"/>
    <n v="275.92857142857144"/>
  </r>
  <r>
    <d v="2024-08-26T00:00:00"/>
    <x v="7"/>
    <x v="6"/>
    <x v="3"/>
    <n v="29"/>
    <n v="18"/>
    <n v="7992"/>
    <n v="1889"/>
    <x v="0"/>
    <n v="6103"/>
    <n v="339.05555555555554"/>
  </r>
  <r>
    <d v="2024-08-27T00:00:00"/>
    <x v="7"/>
    <x v="6"/>
    <x v="3"/>
    <n v="89"/>
    <n v="87"/>
    <n v="33234"/>
    <n v="14718"/>
    <x v="3"/>
    <n v="18516"/>
    <n v="212.82758620689654"/>
  </r>
  <r>
    <d v="2024-08-28T00:00:00"/>
    <x v="7"/>
    <x v="5"/>
    <x v="1"/>
    <n v="35"/>
    <n v="28"/>
    <n v="11648"/>
    <n v="4218"/>
    <x v="2"/>
    <n v="7430"/>
    <n v="265.35714285714283"/>
  </r>
  <r>
    <d v="2024-08-29T00:00:00"/>
    <x v="7"/>
    <x v="1"/>
    <x v="0"/>
    <n v="80"/>
    <n v="80"/>
    <n v="34240"/>
    <n v="15480"/>
    <x v="0"/>
    <n v="18760"/>
    <n v="234.5"/>
  </r>
  <r>
    <d v="2024-08-30T00:00:00"/>
    <x v="7"/>
    <x v="3"/>
    <x v="2"/>
    <n v="32"/>
    <n v="28"/>
    <n v="5236"/>
    <n v="2496"/>
    <x v="4"/>
    <n v="2740"/>
    <n v="97.857142857142861"/>
  </r>
  <r>
    <d v="2024-08-31T00:00:00"/>
    <x v="7"/>
    <x v="2"/>
    <x v="1"/>
    <n v="65"/>
    <n v="23"/>
    <n v="4140"/>
    <n v="902"/>
    <x v="2"/>
    <n v="3238"/>
    <n v="140.78260869565219"/>
  </r>
  <r>
    <d v="2024-09-01T00:00:00"/>
    <x v="8"/>
    <x v="2"/>
    <x v="1"/>
    <n v="74"/>
    <n v="28"/>
    <n v="5292"/>
    <n v="1697"/>
    <x v="1"/>
    <n v="3595"/>
    <n v="128.39285714285714"/>
  </r>
  <r>
    <d v="2024-09-02T00:00:00"/>
    <x v="8"/>
    <x v="3"/>
    <x v="2"/>
    <n v="120"/>
    <n v="81"/>
    <n v="14337"/>
    <n v="4960"/>
    <x v="4"/>
    <n v="9377"/>
    <n v="115.76543209876543"/>
  </r>
  <r>
    <d v="2024-09-03T00:00:00"/>
    <x v="8"/>
    <x v="1"/>
    <x v="0"/>
    <n v="46"/>
    <n v="45"/>
    <n v="15975"/>
    <n v="5076"/>
    <x v="1"/>
    <n v="10899"/>
    <n v="242.2"/>
  </r>
  <r>
    <d v="2024-09-04T00:00:00"/>
    <x v="8"/>
    <x v="0"/>
    <x v="0"/>
    <n v="57"/>
    <n v="17"/>
    <n v="3230"/>
    <n v="813"/>
    <x v="0"/>
    <n v="2417"/>
    <n v="142.1764705882353"/>
  </r>
  <r>
    <d v="2024-09-05T00:00:00"/>
    <x v="8"/>
    <x v="2"/>
    <x v="1"/>
    <n v="99"/>
    <n v="41"/>
    <n v="16728"/>
    <n v="4398"/>
    <x v="1"/>
    <n v="12330"/>
    <n v="300.73170731707319"/>
  </r>
  <r>
    <d v="2024-09-06T00:00:00"/>
    <x v="8"/>
    <x v="6"/>
    <x v="3"/>
    <n v="71"/>
    <n v="19"/>
    <n v="4104"/>
    <n v="1725"/>
    <x v="3"/>
    <n v="2379"/>
    <n v="125.21052631578948"/>
  </r>
  <r>
    <d v="2024-09-07T00:00:00"/>
    <x v="8"/>
    <x v="0"/>
    <x v="0"/>
    <n v="41"/>
    <n v="34"/>
    <n v="16558"/>
    <n v="5464"/>
    <x v="0"/>
    <n v="11094"/>
    <n v="326.29411764705884"/>
  </r>
  <r>
    <d v="2024-09-08T00:00:00"/>
    <x v="8"/>
    <x v="3"/>
    <x v="2"/>
    <n v="85"/>
    <n v="62"/>
    <n v="8990"/>
    <n v="3568"/>
    <x v="0"/>
    <n v="5422"/>
    <n v="87.451612903225808"/>
  </r>
  <r>
    <d v="2024-09-09T00:00:00"/>
    <x v="8"/>
    <x v="4"/>
    <x v="1"/>
    <n v="61"/>
    <n v="43"/>
    <n v="13330"/>
    <n v="4567"/>
    <x v="0"/>
    <n v="8763"/>
    <n v="203.7906976744186"/>
  </r>
  <r>
    <d v="2024-09-10T00:00:00"/>
    <x v="8"/>
    <x v="1"/>
    <x v="0"/>
    <n v="30"/>
    <n v="21"/>
    <n v="3843"/>
    <n v="1908"/>
    <x v="4"/>
    <n v="1935"/>
    <n v="92.142857142857139"/>
  </r>
  <r>
    <d v="2024-09-11T00:00:00"/>
    <x v="8"/>
    <x v="5"/>
    <x v="1"/>
    <n v="35"/>
    <n v="15"/>
    <n v="1665"/>
    <n v="361"/>
    <x v="2"/>
    <n v="1304"/>
    <n v="86.933333333333337"/>
  </r>
  <r>
    <d v="2024-09-12T00:00:00"/>
    <x v="8"/>
    <x v="4"/>
    <x v="1"/>
    <n v="80"/>
    <n v="27"/>
    <n v="7830"/>
    <n v="3407"/>
    <x v="3"/>
    <n v="4423"/>
    <n v="163.81481481481481"/>
  </r>
  <r>
    <d v="2024-09-13T00:00:00"/>
    <x v="8"/>
    <x v="2"/>
    <x v="1"/>
    <n v="63"/>
    <n v="51"/>
    <n v="15963"/>
    <n v="6950"/>
    <x v="1"/>
    <n v="9013"/>
    <n v="176.72549019607843"/>
  </r>
  <r>
    <d v="2024-09-14T00:00:00"/>
    <x v="8"/>
    <x v="3"/>
    <x v="2"/>
    <n v="68"/>
    <n v="13"/>
    <n v="4602"/>
    <n v="1050"/>
    <x v="4"/>
    <n v="3552"/>
    <n v="273.23076923076923"/>
  </r>
  <r>
    <d v="2024-09-15T00:00:00"/>
    <x v="8"/>
    <x v="0"/>
    <x v="0"/>
    <n v="114"/>
    <n v="81"/>
    <n v="27864"/>
    <n v="13847"/>
    <x v="3"/>
    <n v="14017"/>
    <n v="173.04938271604939"/>
  </r>
  <r>
    <d v="2024-09-16T00:00:00"/>
    <x v="8"/>
    <x v="0"/>
    <x v="0"/>
    <n v="107"/>
    <n v="32"/>
    <n v="4256"/>
    <n v="1747"/>
    <x v="2"/>
    <n v="2509"/>
    <n v="78.40625"/>
  </r>
  <r>
    <d v="2024-09-17T00:00:00"/>
    <x v="8"/>
    <x v="6"/>
    <x v="3"/>
    <n v="92"/>
    <n v="17"/>
    <n v="6613"/>
    <n v="2109"/>
    <x v="0"/>
    <n v="4504"/>
    <n v="264.94117647058823"/>
  </r>
  <r>
    <d v="2024-09-18T00:00:00"/>
    <x v="8"/>
    <x v="1"/>
    <x v="0"/>
    <n v="96"/>
    <n v="47"/>
    <n v="20022"/>
    <n v="6014"/>
    <x v="4"/>
    <n v="14008"/>
    <n v="298.04255319148939"/>
  </r>
  <r>
    <d v="2024-09-19T00:00:00"/>
    <x v="8"/>
    <x v="4"/>
    <x v="1"/>
    <n v="35"/>
    <n v="18"/>
    <n v="7506"/>
    <n v="3521"/>
    <x v="0"/>
    <n v="3985"/>
    <n v="221.38888888888889"/>
  </r>
  <r>
    <d v="2024-09-20T00:00:00"/>
    <x v="8"/>
    <x v="2"/>
    <x v="1"/>
    <n v="72"/>
    <n v="52"/>
    <n v="6864"/>
    <n v="2411"/>
    <x v="1"/>
    <n v="4453"/>
    <n v="85.634615384615387"/>
  </r>
  <r>
    <d v="2024-09-21T00:00:00"/>
    <x v="8"/>
    <x v="3"/>
    <x v="2"/>
    <n v="119"/>
    <n v="45"/>
    <n v="6570"/>
    <n v="1856"/>
    <x v="3"/>
    <n v="4714"/>
    <n v="104.75555555555556"/>
  </r>
  <r>
    <d v="2024-09-22T00:00:00"/>
    <x v="8"/>
    <x v="0"/>
    <x v="0"/>
    <n v="34"/>
    <n v="31"/>
    <n v="14260"/>
    <n v="6919"/>
    <x v="2"/>
    <n v="7341"/>
    <n v="236.80645161290323"/>
  </r>
  <r>
    <d v="2024-09-23T00:00:00"/>
    <x v="8"/>
    <x v="2"/>
    <x v="1"/>
    <n v="63"/>
    <n v="55"/>
    <n v="9130"/>
    <n v="2323"/>
    <x v="4"/>
    <n v="6807"/>
    <n v="123.76363636363637"/>
  </r>
  <r>
    <d v="2024-09-24T00:00:00"/>
    <x v="8"/>
    <x v="4"/>
    <x v="1"/>
    <n v="48"/>
    <n v="20"/>
    <n v="7700"/>
    <n v="1602"/>
    <x v="2"/>
    <n v="6098"/>
    <n v="304.89999999999998"/>
  </r>
  <r>
    <d v="2024-09-25T00:00:00"/>
    <x v="8"/>
    <x v="1"/>
    <x v="0"/>
    <n v="109"/>
    <n v="84"/>
    <n v="30828"/>
    <n v="15232"/>
    <x v="0"/>
    <n v="15596"/>
    <n v="185.66666666666666"/>
  </r>
  <r>
    <d v="2024-09-26T00:00:00"/>
    <x v="8"/>
    <x v="2"/>
    <x v="1"/>
    <n v="28"/>
    <n v="21"/>
    <n v="3402"/>
    <n v="1118"/>
    <x v="2"/>
    <n v="2284"/>
    <n v="108.76190476190476"/>
  </r>
  <r>
    <d v="2024-09-27T00:00:00"/>
    <x v="8"/>
    <x v="1"/>
    <x v="0"/>
    <n v="54"/>
    <n v="16"/>
    <n v="4272"/>
    <n v="1578"/>
    <x v="1"/>
    <n v="2694"/>
    <n v="168.375"/>
  </r>
  <r>
    <d v="2024-09-28T00:00:00"/>
    <x v="8"/>
    <x v="2"/>
    <x v="1"/>
    <n v="53"/>
    <n v="48"/>
    <n v="5424"/>
    <n v="1788"/>
    <x v="0"/>
    <n v="3636"/>
    <n v="75.75"/>
  </r>
  <r>
    <d v="2024-09-29T00:00:00"/>
    <x v="8"/>
    <x v="5"/>
    <x v="1"/>
    <n v="104"/>
    <n v="76"/>
    <n v="35036"/>
    <n v="16416"/>
    <x v="4"/>
    <n v="18620"/>
    <n v="245"/>
  </r>
  <r>
    <d v="2024-09-30T00:00:00"/>
    <x v="8"/>
    <x v="5"/>
    <x v="1"/>
    <n v="98"/>
    <n v="86"/>
    <n v="39732"/>
    <n v="8211"/>
    <x v="2"/>
    <n v="31521"/>
    <n v="366.52325581395348"/>
  </r>
  <r>
    <d v="2024-10-01T00:00:00"/>
    <x v="9"/>
    <x v="5"/>
    <x v="1"/>
    <n v="44"/>
    <n v="33"/>
    <n v="13398"/>
    <n v="5899"/>
    <x v="4"/>
    <n v="7499"/>
    <n v="227.24242424242425"/>
  </r>
  <r>
    <d v="2024-10-02T00:00:00"/>
    <x v="9"/>
    <x v="5"/>
    <x v="1"/>
    <n v="64"/>
    <n v="40"/>
    <n v="16640"/>
    <n v="7384"/>
    <x v="4"/>
    <n v="9256"/>
    <n v="231.4"/>
  </r>
  <r>
    <d v="2024-10-03T00:00:00"/>
    <x v="9"/>
    <x v="6"/>
    <x v="3"/>
    <n v="112"/>
    <n v="110"/>
    <n v="32120"/>
    <n v="13213"/>
    <x v="0"/>
    <n v="18907"/>
    <n v="171.88181818181818"/>
  </r>
  <r>
    <d v="2024-10-04T00:00:00"/>
    <x v="9"/>
    <x v="3"/>
    <x v="2"/>
    <n v="117"/>
    <n v="51"/>
    <n v="9333"/>
    <n v="4128"/>
    <x v="0"/>
    <n v="5205"/>
    <n v="102.05882352941177"/>
  </r>
  <r>
    <d v="2024-10-05T00:00:00"/>
    <x v="9"/>
    <x v="4"/>
    <x v="1"/>
    <n v="97"/>
    <n v="37"/>
    <n v="6253"/>
    <n v="1990"/>
    <x v="3"/>
    <n v="4263"/>
    <n v="115.21621621621621"/>
  </r>
  <r>
    <d v="2024-10-06T00:00:00"/>
    <x v="9"/>
    <x v="4"/>
    <x v="1"/>
    <n v="55"/>
    <n v="10"/>
    <n v="1520"/>
    <n v="526"/>
    <x v="0"/>
    <n v="994"/>
    <n v="99.4"/>
  </r>
  <r>
    <d v="2024-10-07T00:00:00"/>
    <x v="9"/>
    <x v="6"/>
    <x v="3"/>
    <n v="97"/>
    <n v="10"/>
    <n v="4760"/>
    <n v="1590"/>
    <x v="3"/>
    <n v="3170"/>
    <n v="317"/>
  </r>
  <r>
    <d v="2024-10-08T00:00:00"/>
    <x v="9"/>
    <x v="5"/>
    <x v="1"/>
    <n v="115"/>
    <n v="73"/>
    <n v="36062"/>
    <n v="8463"/>
    <x v="0"/>
    <n v="27599"/>
    <n v="378.06849315068496"/>
  </r>
  <r>
    <d v="2024-10-09T00:00:00"/>
    <x v="9"/>
    <x v="6"/>
    <x v="3"/>
    <n v="97"/>
    <n v="58"/>
    <n v="26854"/>
    <n v="10702"/>
    <x v="3"/>
    <n v="16152"/>
    <n v="278.48275862068965"/>
  </r>
  <r>
    <d v="2024-10-10T00:00:00"/>
    <x v="9"/>
    <x v="6"/>
    <x v="3"/>
    <n v="94"/>
    <n v="45"/>
    <n v="7110"/>
    <n v="2753"/>
    <x v="0"/>
    <n v="4357"/>
    <n v="96.822222222222223"/>
  </r>
  <r>
    <d v="2024-10-11T00:00:00"/>
    <x v="9"/>
    <x v="0"/>
    <x v="0"/>
    <n v="105"/>
    <n v="65"/>
    <n v="23985"/>
    <n v="10584"/>
    <x v="0"/>
    <n v="13401"/>
    <n v="206.16923076923078"/>
  </r>
  <r>
    <d v="2024-10-12T00:00:00"/>
    <x v="9"/>
    <x v="1"/>
    <x v="0"/>
    <n v="115"/>
    <n v="113"/>
    <n v="17289"/>
    <n v="6219"/>
    <x v="1"/>
    <n v="11070"/>
    <n v="97.964601769911511"/>
  </r>
  <r>
    <d v="2024-10-13T00:00:00"/>
    <x v="9"/>
    <x v="3"/>
    <x v="2"/>
    <n v="57"/>
    <n v="46"/>
    <n v="9246"/>
    <n v="2529"/>
    <x v="2"/>
    <n v="6717"/>
    <n v="146.02173913043478"/>
  </r>
  <r>
    <d v="2024-10-14T00:00:00"/>
    <x v="9"/>
    <x v="5"/>
    <x v="1"/>
    <n v="26"/>
    <n v="10"/>
    <n v="1780"/>
    <n v="751"/>
    <x v="4"/>
    <n v="1029"/>
    <n v="102.9"/>
  </r>
  <r>
    <d v="2024-10-15T00:00:00"/>
    <x v="9"/>
    <x v="2"/>
    <x v="1"/>
    <n v="61"/>
    <n v="42"/>
    <n v="6132"/>
    <n v="2534"/>
    <x v="3"/>
    <n v="3598"/>
    <n v="85.666666666666671"/>
  </r>
  <r>
    <d v="2024-10-16T00:00:00"/>
    <x v="9"/>
    <x v="6"/>
    <x v="3"/>
    <n v="73"/>
    <n v="18"/>
    <n v="2610"/>
    <n v="637"/>
    <x v="0"/>
    <n v="1973"/>
    <n v="109.61111111111111"/>
  </r>
  <r>
    <d v="2024-10-17T00:00:00"/>
    <x v="9"/>
    <x v="2"/>
    <x v="1"/>
    <n v="100"/>
    <n v="10"/>
    <n v="3300"/>
    <n v="1452"/>
    <x v="1"/>
    <n v="1848"/>
    <n v="184.8"/>
  </r>
  <r>
    <d v="2024-10-18T00:00:00"/>
    <x v="9"/>
    <x v="6"/>
    <x v="3"/>
    <n v="21"/>
    <n v="17"/>
    <n v="4760"/>
    <n v="1636"/>
    <x v="0"/>
    <n v="3124"/>
    <n v="183.76470588235293"/>
  </r>
  <r>
    <d v="2024-10-19T00:00:00"/>
    <x v="9"/>
    <x v="3"/>
    <x v="2"/>
    <n v="91"/>
    <n v="46"/>
    <n v="19366"/>
    <n v="9000"/>
    <x v="1"/>
    <n v="10366"/>
    <n v="225.34782608695653"/>
  </r>
  <r>
    <d v="2024-10-20T00:00:00"/>
    <x v="9"/>
    <x v="5"/>
    <x v="1"/>
    <n v="87"/>
    <n v="72"/>
    <n v="35784"/>
    <n v="10344"/>
    <x v="3"/>
    <n v="25440"/>
    <n v="353.33333333333331"/>
  </r>
  <r>
    <d v="2024-10-21T00:00:00"/>
    <x v="9"/>
    <x v="4"/>
    <x v="1"/>
    <n v="91"/>
    <n v="86"/>
    <n v="25714"/>
    <n v="9157"/>
    <x v="2"/>
    <n v="16557"/>
    <n v="192.52325581395348"/>
  </r>
  <r>
    <d v="2024-10-22T00:00:00"/>
    <x v="9"/>
    <x v="5"/>
    <x v="1"/>
    <n v="119"/>
    <n v="21"/>
    <n v="7371"/>
    <n v="2685"/>
    <x v="3"/>
    <n v="4686"/>
    <n v="223.14285714285714"/>
  </r>
  <r>
    <d v="2024-10-23T00:00:00"/>
    <x v="9"/>
    <x v="5"/>
    <x v="1"/>
    <n v="22"/>
    <n v="19"/>
    <n v="2337"/>
    <n v="676"/>
    <x v="2"/>
    <n v="1661"/>
    <n v="87.421052631578945"/>
  </r>
  <r>
    <d v="2024-10-24T00:00:00"/>
    <x v="9"/>
    <x v="1"/>
    <x v="0"/>
    <n v="96"/>
    <n v="80"/>
    <n v="13040"/>
    <n v="3842"/>
    <x v="3"/>
    <n v="9198"/>
    <n v="114.97499999999999"/>
  </r>
  <r>
    <d v="2024-10-25T00:00:00"/>
    <x v="9"/>
    <x v="0"/>
    <x v="0"/>
    <n v="41"/>
    <n v="30"/>
    <n v="8490"/>
    <n v="3628"/>
    <x v="2"/>
    <n v="4862"/>
    <n v="162.06666666666666"/>
  </r>
  <r>
    <d v="2024-10-26T00:00:00"/>
    <x v="9"/>
    <x v="5"/>
    <x v="1"/>
    <n v="96"/>
    <n v="80"/>
    <n v="17600"/>
    <n v="6214"/>
    <x v="3"/>
    <n v="11386"/>
    <n v="142.32499999999999"/>
  </r>
  <r>
    <d v="2024-10-27T00:00:00"/>
    <x v="9"/>
    <x v="0"/>
    <x v="0"/>
    <n v="97"/>
    <n v="12"/>
    <n v="4056"/>
    <n v="1139"/>
    <x v="4"/>
    <n v="2917"/>
    <n v="243.08333333333334"/>
  </r>
  <r>
    <d v="2024-10-28T00:00:00"/>
    <x v="9"/>
    <x v="2"/>
    <x v="1"/>
    <n v="53"/>
    <n v="26"/>
    <n v="6474"/>
    <n v="2316"/>
    <x v="2"/>
    <n v="4158"/>
    <n v="159.92307692307693"/>
  </r>
  <r>
    <d v="2024-10-29T00:00:00"/>
    <x v="9"/>
    <x v="3"/>
    <x v="2"/>
    <n v="120"/>
    <n v="93"/>
    <n v="25761"/>
    <n v="5481"/>
    <x v="0"/>
    <n v="20280"/>
    <n v="218.06451612903226"/>
  </r>
  <r>
    <d v="2024-10-30T00:00:00"/>
    <x v="9"/>
    <x v="3"/>
    <x v="2"/>
    <n v="99"/>
    <n v="46"/>
    <n v="5060"/>
    <n v="2249"/>
    <x v="1"/>
    <n v="2811"/>
    <n v="61.108695652173914"/>
  </r>
  <r>
    <d v="2024-10-31T00:00:00"/>
    <x v="9"/>
    <x v="2"/>
    <x v="1"/>
    <n v="96"/>
    <n v="16"/>
    <n v="5296"/>
    <n v="2382"/>
    <x v="3"/>
    <n v="2914"/>
    <n v="182.125"/>
  </r>
  <r>
    <d v="2024-11-01T00:00:00"/>
    <x v="10"/>
    <x v="1"/>
    <x v="0"/>
    <n v="43"/>
    <n v="23"/>
    <n v="5290"/>
    <n v="2369"/>
    <x v="0"/>
    <n v="2921"/>
    <n v="127"/>
  </r>
  <r>
    <d v="2024-11-02T00:00:00"/>
    <x v="10"/>
    <x v="5"/>
    <x v="1"/>
    <n v="54"/>
    <n v="16"/>
    <n v="4240"/>
    <n v="1250"/>
    <x v="2"/>
    <n v="2990"/>
    <n v="186.875"/>
  </r>
  <r>
    <d v="2024-11-03T00:00:00"/>
    <x v="10"/>
    <x v="6"/>
    <x v="3"/>
    <n v="73"/>
    <n v="32"/>
    <n v="12096"/>
    <n v="2794"/>
    <x v="3"/>
    <n v="9302"/>
    <n v="290.6875"/>
  </r>
  <r>
    <d v="2024-11-04T00:00:00"/>
    <x v="10"/>
    <x v="0"/>
    <x v="0"/>
    <n v="76"/>
    <n v="58"/>
    <n v="10556"/>
    <n v="4843"/>
    <x v="1"/>
    <n v="5713"/>
    <n v="98.5"/>
  </r>
  <r>
    <d v="2024-11-05T00:00:00"/>
    <x v="10"/>
    <x v="0"/>
    <x v="0"/>
    <n v="99"/>
    <n v="64"/>
    <n v="21056"/>
    <n v="4475"/>
    <x v="0"/>
    <n v="16581"/>
    <n v="259.078125"/>
  </r>
  <r>
    <d v="2024-11-06T00:00:00"/>
    <x v="10"/>
    <x v="6"/>
    <x v="3"/>
    <n v="116"/>
    <n v="107"/>
    <n v="36487"/>
    <n v="16188"/>
    <x v="1"/>
    <n v="20299"/>
    <n v="189.71028037383178"/>
  </r>
  <r>
    <d v="2024-11-07T00:00:00"/>
    <x v="10"/>
    <x v="3"/>
    <x v="2"/>
    <n v="48"/>
    <n v="21"/>
    <n v="9114"/>
    <n v="3962"/>
    <x v="0"/>
    <n v="5152"/>
    <n v="245.33333333333334"/>
  </r>
  <r>
    <d v="2024-11-08T00:00:00"/>
    <x v="10"/>
    <x v="3"/>
    <x v="2"/>
    <n v="35"/>
    <n v="11"/>
    <n v="3333"/>
    <n v="1215"/>
    <x v="3"/>
    <n v="2118"/>
    <n v="192.54545454545453"/>
  </r>
  <r>
    <d v="2024-11-09T00:00:00"/>
    <x v="10"/>
    <x v="1"/>
    <x v="0"/>
    <n v="84"/>
    <n v="42"/>
    <n v="14364"/>
    <n v="6841"/>
    <x v="3"/>
    <n v="7523"/>
    <n v="179.11904761904762"/>
  </r>
  <r>
    <d v="2024-11-10T00:00:00"/>
    <x v="10"/>
    <x v="2"/>
    <x v="1"/>
    <n v="49"/>
    <n v="33"/>
    <n v="5742"/>
    <n v="1529"/>
    <x v="2"/>
    <n v="4213"/>
    <n v="127.66666666666667"/>
  </r>
  <r>
    <d v="2024-11-11T00:00:00"/>
    <x v="10"/>
    <x v="1"/>
    <x v="0"/>
    <n v="59"/>
    <n v="42"/>
    <n v="5292"/>
    <n v="1446"/>
    <x v="1"/>
    <n v="3846"/>
    <n v="91.571428571428569"/>
  </r>
  <r>
    <d v="2024-11-12T00:00:00"/>
    <x v="10"/>
    <x v="6"/>
    <x v="3"/>
    <n v="82"/>
    <n v="45"/>
    <n v="8325"/>
    <n v="3385"/>
    <x v="0"/>
    <n v="4940"/>
    <n v="109.77777777777777"/>
  </r>
  <r>
    <d v="2024-11-13T00:00:00"/>
    <x v="10"/>
    <x v="2"/>
    <x v="1"/>
    <n v="113"/>
    <n v="14"/>
    <n v="2240"/>
    <n v="609"/>
    <x v="3"/>
    <n v="1631"/>
    <n v="116.5"/>
  </r>
  <r>
    <d v="2024-11-14T00:00:00"/>
    <x v="10"/>
    <x v="1"/>
    <x v="0"/>
    <n v="54"/>
    <n v="13"/>
    <n v="3523"/>
    <n v="984"/>
    <x v="3"/>
    <n v="2539"/>
    <n v="195.30769230769232"/>
  </r>
  <r>
    <d v="2024-11-15T00:00:00"/>
    <x v="10"/>
    <x v="3"/>
    <x v="2"/>
    <n v="58"/>
    <n v="38"/>
    <n v="8132"/>
    <n v="2042"/>
    <x v="4"/>
    <n v="6090"/>
    <n v="160.26315789473685"/>
  </r>
  <r>
    <d v="2024-11-16T00:00:00"/>
    <x v="10"/>
    <x v="0"/>
    <x v="0"/>
    <n v="99"/>
    <n v="50"/>
    <n v="18050"/>
    <n v="8891"/>
    <x v="1"/>
    <n v="9159"/>
    <n v="183.18"/>
  </r>
  <r>
    <d v="2024-11-17T00:00:00"/>
    <x v="10"/>
    <x v="3"/>
    <x v="2"/>
    <n v="67"/>
    <n v="66"/>
    <n v="25080"/>
    <n v="11860"/>
    <x v="0"/>
    <n v="13220"/>
    <n v="200.30303030303031"/>
  </r>
  <r>
    <d v="2024-11-18T00:00:00"/>
    <x v="10"/>
    <x v="2"/>
    <x v="1"/>
    <n v="37"/>
    <n v="29"/>
    <n v="7047"/>
    <n v="2705"/>
    <x v="2"/>
    <n v="4342"/>
    <n v="149.72413793103448"/>
  </r>
  <r>
    <d v="2024-11-19T00:00:00"/>
    <x v="10"/>
    <x v="1"/>
    <x v="0"/>
    <n v="20"/>
    <n v="12"/>
    <n v="5916"/>
    <n v="1419"/>
    <x v="2"/>
    <n v="4497"/>
    <n v="374.75"/>
  </r>
  <r>
    <d v="2024-11-20T00:00:00"/>
    <x v="10"/>
    <x v="0"/>
    <x v="0"/>
    <n v="117"/>
    <n v="36"/>
    <n v="15228"/>
    <n v="5207"/>
    <x v="1"/>
    <n v="10021"/>
    <n v="278.36111111111109"/>
  </r>
  <r>
    <d v="2024-11-21T00:00:00"/>
    <x v="10"/>
    <x v="5"/>
    <x v="1"/>
    <n v="119"/>
    <n v="84"/>
    <n v="12096"/>
    <n v="3782"/>
    <x v="2"/>
    <n v="8314"/>
    <n v="98.976190476190482"/>
  </r>
  <r>
    <d v="2024-11-22T00:00:00"/>
    <x v="10"/>
    <x v="4"/>
    <x v="1"/>
    <n v="50"/>
    <n v="36"/>
    <n v="4356"/>
    <n v="1987"/>
    <x v="2"/>
    <n v="2369"/>
    <n v="65.805555555555557"/>
  </r>
  <r>
    <d v="2024-11-23T00:00:00"/>
    <x v="10"/>
    <x v="2"/>
    <x v="1"/>
    <n v="48"/>
    <n v="33"/>
    <n v="10098"/>
    <n v="2191"/>
    <x v="2"/>
    <n v="7907"/>
    <n v="239.60606060606059"/>
  </r>
  <r>
    <d v="2024-11-24T00:00:00"/>
    <x v="10"/>
    <x v="0"/>
    <x v="0"/>
    <n v="30"/>
    <n v="19"/>
    <n v="5757"/>
    <n v="2113"/>
    <x v="3"/>
    <n v="3644"/>
    <n v="191.78947368421052"/>
  </r>
  <r>
    <d v="2024-11-25T00:00:00"/>
    <x v="10"/>
    <x v="2"/>
    <x v="1"/>
    <n v="88"/>
    <n v="40"/>
    <n v="6240"/>
    <n v="1812"/>
    <x v="0"/>
    <n v="4428"/>
    <n v="110.7"/>
  </r>
  <r>
    <d v="2024-11-26T00:00:00"/>
    <x v="10"/>
    <x v="4"/>
    <x v="1"/>
    <n v="118"/>
    <n v="117"/>
    <n v="46800"/>
    <n v="13146"/>
    <x v="1"/>
    <n v="33654"/>
    <n v="287.64102564102564"/>
  </r>
  <r>
    <d v="2024-11-27T00:00:00"/>
    <x v="10"/>
    <x v="3"/>
    <x v="2"/>
    <n v="73"/>
    <n v="43"/>
    <n v="10363"/>
    <n v="4627"/>
    <x v="2"/>
    <n v="5736"/>
    <n v="133.3953488372093"/>
  </r>
  <r>
    <d v="2024-11-28T00:00:00"/>
    <x v="10"/>
    <x v="0"/>
    <x v="0"/>
    <n v="22"/>
    <n v="17"/>
    <n v="8313"/>
    <n v="3973"/>
    <x v="0"/>
    <n v="4340"/>
    <n v="255.29411764705881"/>
  </r>
  <r>
    <d v="2024-11-29T00:00:00"/>
    <x v="10"/>
    <x v="0"/>
    <x v="0"/>
    <n v="58"/>
    <n v="43"/>
    <n v="20855"/>
    <n v="5117"/>
    <x v="4"/>
    <n v="15738"/>
    <n v="366"/>
  </r>
  <r>
    <d v="2024-11-30T00:00:00"/>
    <x v="10"/>
    <x v="2"/>
    <x v="1"/>
    <n v="20"/>
    <n v="17"/>
    <n v="1836"/>
    <n v="392"/>
    <x v="3"/>
    <n v="1444"/>
    <n v="84.941176470588232"/>
  </r>
  <r>
    <d v="2024-12-01T00:00:00"/>
    <x v="11"/>
    <x v="3"/>
    <x v="2"/>
    <n v="49"/>
    <n v="46"/>
    <n v="12696"/>
    <n v="5398"/>
    <x v="3"/>
    <n v="7298"/>
    <n v="158.65217391304347"/>
  </r>
  <r>
    <d v="2024-12-02T00:00:00"/>
    <x v="11"/>
    <x v="6"/>
    <x v="3"/>
    <n v="75"/>
    <n v="56"/>
    <n v="17584"/>
    <n v="3535"/>
    <x v="2"/>
    <n v="14049"/>
    <n v="250.875"/>
  </r>
  <r>
    <d v="2024-12-03T00:00:00"/>
    <x v="11"/>
    <x v="3"/>
    <x v="2"/>
    <n v="50"/>
    <n v="23"/>
    <n v="3772"/>
    <n v="984"/>
    <x v="0"/>
    <n v="2788"/>
    <n v="121.21739130434783"/>
  </r>
  <r>
    <d v="2024-12-04T00:00:00"/>
    <x v="11"/>
    <x v="5"/>
    <x v="1"/>
    <n v="120"/>
    <n v="102"/>
    <n v="13056"/>
    <n v="5131"/>
    <x v="4"/>
    <n v="7925"/>
    <n v="77.696078431372555"/>
  </r>
  <r>
    <d v="2024-12-05T00:00:00"/>
    <x v="11"/>
    <x v="0"/>
    <x v="0"/>
    <n v="73"/>
    <n v="41"/>
    <n v="8405"/>
    <n v="3810"/>
    <x v="4"/>
    <n v="4595"/>
    <n v="112.07317073170732"/>
  </r>
  <r>
    <d v="2024-12-06T00:00:00"/>
    <x v="11"/>
    <x v="4"/>
    <x v="1"/>
    <n v="100"/>
    <n v="76"/>
    <n v="8968"/>
    <n v="2867"/>
    <x v="4"/>
    <n v="6101"/>
    <n v="80.276315789473685"/>
  </r>
  <r>
    <d v="2024-12-07T00:00:00"/>
    <x v="11"/>
    <x v="6"/>
    <x v="3"/>
    <n v="21"/>
    <n v="10"/>
    <n v="4050"/>
    <n v="1674"/>
    <x v="4"/>
    <n v="2376"/>
    <n v="237.6"/>
  </r>
  <r>
    <d v="2024-12-08T00:00:00"/>
    <x v="11"/>
    <x v="1"/>
    <x v="0"/>
    <n v="87"/>
    <n v="29"/>
    <n v="7598"/>
    <n v="3625"/>
    <x v="3"/>
    <n v="3973"/>
    <n v="137"/>
  </r>
  <r>
    <d v="2024-12-09T00:00:00"/>
    <x v="11"/>
    <x v="2"/>
    <x v="1"/>
    <n v="80"/>
    <n v="40"/>
    <n v="13040"/>
    <n v="3744"/>
    <x v="2"/>
    <n v="9296"/>
    <n v="232.4"/>
  </r>
  <r>
    <d v="2024-12-10T00:00:00"/>
    <x v="11"/>
    <x v="4"/>
    <x v="1"/>
    <n v="95"/>
    <n v="76"/>
    <n v="28044"/>
    <n v="13469"/>
    <x v="4"/>
    <n v="14575"/>
    <n v="191.77631578947367"/>
  </r>
  <r>
    <d v="2024-12-11T00:00:00"/>
    <x v="11"/>
    <x v="1"/>
    <x v="0"/>
    <n v="104"/>
    <n v="65"/>
    <n v="17355"/>
    <n v="4227"/>
    <x v="3"/>
    <n v="13128"/>
    <n v="201.96923076923076"/>
  </r>
  <r>
    <d v="2024-12-12T00:00:00"/>
    <x v="11"/>
    <x v="1"/>
    <x v="0"/>
    <n v="76"/>
    <n v="62"/>
    <n v="13764"/>
    <n v="5732"/>
    <x v="4"/>
    <n v="8032"/>
    <n v="129.54838709677421"/>
  </r>
  <r>
    <d v="2024-12-13T00:00:00"/>
    <x v="11"/>
    <x v="0"/>
    <x v="0"/>
    <n v="79"/>
    <n v="62"/>
    <n v="21018"/>
    <n v="4659"/>
    <x v="0"/>
    <n v="16359"/>
    <n v="263.85483870967744"/>
  </r>
  <r>
    <d v="2024-12-14T00:00:00"/>
    <x v="11"/>
    <x v="2"/>
    <x v="1"/>
    <n v="34"/>
    <n v="22"/>
    <n v="10230"/>
    <n v="2240"/>
    <x v="3"/>
    <n v="7990"/>
    <n v="363.18181818181819"/>
  </r>
  <r>
    <d v="2024-12-15T00:00:00"/>
    <x v="11"/>
    <x v="4"/>
    <x v="1"/>
    <n v="89"/>
    <n v="24"/>
    <n v="8424"/>
    <n v="2480"/>
    <x v="3"/>
    <n v="5944"/>
    <n v="247.66666666666666"/>
  </r>
  <r>
    <d v="2024-12-16T00:00:00"/>
    <x v="11"/>
    <x v="4"/>
    <x v="1"/>
    <n v="56"/>
    <n v="32"/>
    <n v="5216"/>
    <n v="1841"/>
    <x v="0"/>
    <n v="3375"/>
    <n v="105.46875"/>
  </r>
  <r>
    <d v="2024-12-17T00:00:00"/>
    <x v="11"/>
    <x v="4"/>
    <x v="1"/>
    <n v="53"/>
    <n v="50"/>
    <n v="11850"/>
    <n v="3647"/>
    <x v="0"/>
    <n v="8203"/>
    <n v="164.06"/>
  </r>
  <r>
    <d v="2024-12-18T00:00:00"/>
    <x v="11"/>
    <x v="6"/>
    <x v="3"/>
    <n v="29"/>
    <n v="10"/>
    <n v="1960"/>
    <n v="594"/>
    <x v="1"/>
    <n v="1366"/>
    <n v="136.6"/>
  </r>
  <r>
    <d v="2024-12-19T00:00:00"/>
    <x v="11"/>
    <x v="6"/>
    <x v="3"/>
    <n v="92"/>
    <n v="66"/>
    <n v="10560"/>
    <n v="4329"/>
    <x v="2"/>
    <n v="6231"/>
    <n v="94.409090909090907"/>
  </r>
  <r>
    <d v="2024-12-20T00:00:00"/>
    <x v="11"/>
    <x v="2"/>
    <x v="1"/>
    <n v="50"/>
    <n v="46"/>
    <n v="18032"/>
    <n v="7383"/>
    <x v="0"/>
    <n v="10649"/>
    <n v="231.5"/>
  </r>
  <r>
    <d v="2024-12-21T00:00:00"/>
    <x v="11"/>
    <x v="6"/>
    <x v="3"/>
    <n v="80"/>
    <n v="50"/>
    <n v="5550"/>
    <n v="2659"/>
    <x v="2"/>
    <n v="2891"/>
    <n v="57.82"/>
  </r>
  <r>
    <d v="2024-12-22T00:00:00"/>
    <x v="11"/>
    <x v="5"/>
    <x v="1"/>
    <n v="96"/>
    <n v="92"/>
    <n v="15824"/>
    <n v="4831"/>
    <x v="1"/>
    <n v="10993"/>
    <n v="119.48913043478261"/>
  </r>
  <r>
    <d v="2024-12-23T00:00:00"/>
    <x v="11"/>
    <x v="1"/>
    <x v="0"/>
    <n v="89"/>
    <n v="49"/>
    <n v="8869"/>
    <n v="2999"/>
    <x v="4"/>
    <n v="5870"/>
    <n v="119.79591836734694"/>
  </r>
  <r>
    <d v="2024-12-24T00:00:00"/>
    <x v="11"/>
    <x v="4"/>
    <x v="1"/>
    <n v="74"/>
    <n v="69"/>
    <n v="18216"/>
    <n v="5729"/>
    <x v="0"/>
    <n v="12487"/>
    <n v="180.97101449275362"/>
  </r>
  <r>
    <d v="2024-12-25T00:00:00"/>
    <x v="11"/>
    <x v="6"/>
    <x v="3"/>
    <n v="93"/>
    <n v="28"/>
    <n v="10080"/>
    <n v="2643"/>
    <x v="3"/>
    <n v="7437"/>
    <n v="265.60714285714283"/>
  </r>
  <r>
    <d v="2024-12-26T00:00:00"/>
    <x v="11"/>
    <x v="5"/>
    <x v="1"/>
    <n v="97"/>
    <n v="35"/>
    <n v="17080"/>
    <n v="4862"/>
    <x v="3"/>
    <n v="12218"/>
    <n v="349.08571428571429"/>
  </r>
  <r>
    <d v="2024-12-27T00:00:00"/>
    <x v="11"/>
    <x v="6"/>
    <x v="3"/>
    <n v="106"/>
    <n v="16"/>
    <n v="6080"/>
    <n v="2254"/>
    <x v="0"/>
    <n v="3826"/>
    <n v="239.125"/>
  </r>
  <r>
    <d v="2024-12-28T00:00:00"/>
    <x v="11"/>
    <x v="5"/>
    <x v="1"/>
    <n v="88"/>
    <n v="48"/>
    <n v="17616"/>
    <n v="3583"/>
    <x v="1"/>
    <n v="14033"/>
    <n v="292.35416666666669"/>
  </r>
  <r>
    <d v="2024-12-29T00:00:00"/>
    <x v="11"/>
    <x v="0"/>
    <x v="0"/>
    <n v="106"/>
    <n v="95"/>
    <n v="12825"/>
    <n v="4720"/>
    <x v="1"/>
    <n v="8105"/>
    <n v="85.315789473684205"/>
  </r>
  <r>
    <d v="2024-12-30T00:00:00"/>
    <x v="11"/>
    <x v="1"/>
    <x v="0"/>
    <n v="120"/>
    <n v="58"/>
    <n v="21982"/>
    <n v="6419"/>
    <x v="2"/>
    <n v="15563"/>
    <n v="268.3275862068965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3A62083-431F-428A-B6E7-6D431CDB8AE4}" name="PT_Supplier" cacheId="0"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1">
  <location ref="P2:R5" firstHeaderRow="1" firstDataRow="2" firstDataCol="1"/>
  <pivotFields count="11">
    <pivotField compact="0" numFmtId="14" outline="0" showAll="0"/>
    <pivotField compact="0" outline="0" showAll="0">
      <items count="13">
        <item x="0"/>
        <item x="1"/>
        <item x="2"/>
        <item x="3"/>
        <item x="4"/>
        <item x="5"/>
        <item x="6"/>
        <item x="7"/>
        <item x="8"/>
        <item x="9"/>
        <item x="10"/>
        <item x="11"/>
        <item t="default"/>
      </items>
    </pivotField>
    <pivotField compact="0" outline="0" showAll="0"/>
    <pivotField compact="0" outline="0" showAll="0">
      <items count="5">
        <item x="3"/>
        <item x="0"/>
        <item x="1"/>
        <item x="2"/>
        <item t="default"/>
      </items>
    </pivotField>
    <pivotField compact="0" outline="0" showAll="0"/>
    <pivotField compact="0" outline="0" showAll="0"/>
    <pivotField dataField="1" compact="0" outline="0" showAll="0"/>
    <pivotField compact="0" outline="0" showAll="0"/>
    <pivotField axis="axisRow" compact="0" outline="0" showAll="0">
      <items count="6">
        <item h="1" x="2"/>
        <item h="1" x="3"/>
        <item x="4"/>
        <item h="1" x="0"/>
        <item h="1" x="1"/>
        <item t="default"/>
      </items>
    </pivotField>
    <pivotField dataField="1" compact="0" outline="0" showAll="0"/>
    <pivotField compact="0" outline="0" showAll="0"/>
  </pivotFields>
  <rowFields count="1">
    <field x="8"/>
  </rowFields>
  <rowItems count="2">
    <i>
      <x v="2"/>
    </i>
    <i t="grand">
      <x/>
    </i>
  </rowItems>
  <colFields count="1">
    <field x="-2"/>
  </colFields>
  <colItems count="2">
    <i>
      <x/>
    </i>
    <i i="1">
      <x v="1"/>
    </i>
  </colItems>
  <dataFields count="2">
    <dataField name="Total Revenue" fld="6" baseField="0" baseItem="0" numFmtId="164"/>
    <dataField name="Total Profit" fld="9"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B0E6062-5CC8-49CE-92BA-0A28C1951497}" name="PT_Product" cacheId="0"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1">
  <location ref="K2:N11" firstHeaderRow="1" firstDataRow="2" firstDataCol="1"/>
  <pivotFields count="11">
    <pivotField compact="0" numFmtId="14" outline="0" showAll="0"/>
    <pivotField compact="0" outline="0" showAll="0">
      <items count="13">
        <item x="0"/>
        <item x="1"/>
        <item x="2"/>
        <item x="3"/>
        <item x="4"/>
        <item x="5"/>
        <item x="6"/>
        <item x="7"/>
        <item x="8"/>
        <item x="9"/>
        <item x="10"/>
        <item x="11"/>
        <item t="default"/>
      </items>
    </pivotField>
    <pivotField axis="axisRow" compact="0" outline="0" showAll="0">
      <items count="8">
        <item x="4"/>
        <item x="6"/>
        <item x="3"/>
        <item x="0"/>
        <item x="2"/>
        <item x="5"/>
        <item x="1"/>
        <item t="default"/>
      </items>
    </pivotField>
    <pivotField compact="0" outline="0" showAll="0">
      <items count="5">
        <item x="3"/>
        <item x="0"/>
        <item x="1"/>
        <item x="2"/>
        <item t="default"/>
      </items>
    </pivotField>
    <pivotField compact="0" outline="0" showAll="0"/>
    <pivotField dataField="1" compact="0" outline="0" showAll="0"/>
    <pivotField dataField="1" compact="0" outline="0" showAll="0"/>
    <pivotField compact="0" outline="0" showAll="0"/>
    <pivotField compact="0" outline="0" showAll="0">
      <items count="6">
        <item h="1" x="2"/>
        <item h="1" x="3"/>
        <item x="4"/>
        <item h="1" x="0"/>
        <item h="1" x="1"/>
        <item t="default"/>
      </items>
    </pivotField>
    <pivotField dataField="1" compact="0" outline="0" showAll="0"/>
    <pivotField compact="0" outline="0" showAll="0"/>
  </pivotFields>
  <rowFields count="1">
    <field x="2"/>
  </rowFields>
  <rowItems count="8">
    <i>
      <x/>
    </i>
    <i>
      <x v="1"/>
    </i>
    <i>
      <x v="2"/>
    </i>
    <i>
      <x v="3"/>
    </i>
    <i>
      <x v="4"/>
    </i>
    <i>
      <x v="5"/>
    </i>
    <i>
      <x v="6"/>
    </i>
    <i t="grand">
      <x/>
    </i>
  </rowItems>
  <colFields count="1">
    <field x="-2"/>
  </colFields>
  <colItems count="3">
    <i>
      <x/>
    </i>
    <i i="1">
      <x v="1"/>
    </i>
    <i i="2">
      <x v="2"/>
    </i>
  </colItems>
  <dataFields count="3">
    <dataField name="Total Revenue" fld="6" baseField="0" baseItem="0" numFmtId="164"/>
    <dataField name="Total Profit" fld="9" baseField="0" baseItem="0" numFmtId="164"/>
    <dataField name="UnitsSold" fld="5" baseField="0" baseItem="0" numFmtId="3"/>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D61A65-2978-4F7C-8DED-CEF2764E1DC5}" name="PT_Category" cacheId="0"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1">
  <location ref="G2:I8" firstHeaderRow="1" firstDataRow="2" firstDataCol="1"/>
  <pivotFields count="11">
    <pivotField compact="0" numFmtId="14" outline="0" showAll="0"/>
    <pivotField compact="0" outline="0" showAll="0">
      <items count="13">
        <item x="0"/>
        <item x="1"/>
        <item x="2"/>
        <item x="3"/>
        <item x="4"/>
        <item x="5"/>
        <item x="6"/>
        <item x="7"/>
        <item x="8"/>
        <item x="9"/>
        <item x="10"/>
        <item x="11"/>
        <item t="default"/>
      </items>
    </pivotField>
    <pivotField compact="0" outline="0" showAll="0"/>
    <pivotField axis="axisRow" compact="0" outline="0" showAll="0">
      <items count="5">
        <item x="3"/>
        <item x="0"/>
        <item x="1"/>
        <item x="2"/>
        <item t="default"/>
      </items>
    </pivotField>
    <pivotField compact="0" outline="0" showAll="0"/>
    <pivotField compact="0" outline="0" showAll="0"/>
    <pivotField dataField="1" compact="0" outline="0" showAll="0"/>
    <pivotField compact="0" outline="0" showAll="0"/>
    <pivotField compact="0" outline="0" showAll="0">
      <items count="6">
        <item h="1" x="2"/>
        <item h="1" x="3"/>
        <item x="4"/>
        <item h="1" x="0"/>
        <item h="1" x="1"/>
        <item t="default"/>
      </items>
    </pivotField>
    <pivotField dataField="1" compact="0" outline="0" showAll="0"/>
    <pivotField compact="0" outline="0" showAll="0"/>
  </pivotFields>
  <rowFields count="1">
    <field x="3"/>
  </rowFields>
  <rowItems count="5">
    <i>
      <x/>
    </i>
    <i>
      <x v="1"/>
    </i>
    <i>
      <x v="2"/>
    </i>
    <i>
      <x v="3"/>
    </i>
    <i t="grand">
      <x/>
    </i>
  </rowItems>
  <colFields count="1">
    <field x="-2"/>
  </colFields>
  <colItems count="2">
    <i>
      <x/>
    </i>
    <i i="1">
      <x v="1"/>
    </i>
  </colItems>
  <dataFields count="2">
    <dataField name="Total Revenue" fld="6" baseField="0" baseItem="0" numFmtId="164"/>
    <dataField name="Total Profit" fld="9" baseField="0" baseItem="0" numFmtId="164"/>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3" count="1" selected="0">
            <x v="0"/>
          </reference>
        </references>
      </pivotArea>
    </chartFormat>
    <chartFormat chart="0" format="3">
      <pivotArea type="data" outline="0" fieldPosition="0">
        <references count="2">
          <reference field="4294967294" count="1" selected="0">
            <x v="0"/>
          </reference>
          <reference field="3" count="1" selected="0">
            <x v="1"/>
          </reference>
        </references>
      </pivotArea>
    </chartFormat>
    <chartFormat chart="0" format="4">
      <pivotArea type="data" outline="0" fieldPosition="0">
        <references count="2">
          <reference field="4294967294" count="1" selected="0">
            <x v="0"/>
          </reference>
          <reference field="3" count="1" selected="0">
            <x v="2"/>
          </reference>
        </references>
      </pivotArea>
    </chartFormat>
    <chartFormat chart="0" format="5">
      <pivotArea type="data" outline="0" fieldPosition="0">
        <references count="2">
          <reference field="4294967294" count="1" selected="0">
            <x v="0"/>
          </reference>
          <reference field="3" count="1" selected="0">
            <x v="3"/>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4C17545-8130-4D28-9B60-D9BC256F69F5}" name="PT_Monthly" cacheId="0"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2">
  <location ref="A2:E16" firstHeaderRow="1" firstDataRow="2" firstDataCol="1"/>
  <pivotFields count="11">
    <pivotField compact="0" numFmtId="14" outline="0" showAll="0"/>
    <pivotField axis="axisRow" compact="0" outline="0" showAll="0">
      <items count="13">
        <item x="0"/>
        <item x="1"/>
        <item x="2"/>
        <item x="3"/>
        <item x="4"/>
        <item x="5"/>
        <item x="6"/>
        <item x="7"/>
        <item x="8"/>
        <item x="9"/>
        <item x="10"/>
        <item x="11"/>
        <item t="default"/>
      </items>
    </pivotField>
    <pivotField compact="0" outline="0" showAll="0"/>
    <pivotField compact="0" outline="0" showAll="0">
      <items count="5">
        <item x="3"/>
        <item x="0"/>
        <item x="1"/>
        <item x="2"/>
        <item t="default"/>
      </items>
    </pivotField>
    <pivotField compact="0" outline="0" showAll="0"/>
    <pivotField dataField="1" compact="0" outline="0" showAll="0"/>
    <pivotField dataField="1" compact="0" outline="0" showAll="0"/>
    <pivotField dataField="1" compact="0" outline="0" showAll="0"/>
    <pivotField compact="0" outline="0" showAll="0">
      <items count="6">
        <item h="1" x="2"/>
        <item h="1" x="3"/>
        <item x="4"/>
        <item h="1" x="0"/>
        <item h="1" x="1"/>
        <item t="default"/>
      </items>
    </pivotField>
    <pivotField dataField="1" compact="0" outline="0" showAll="0"/>
    <pivotField compact="0" outline="0" showAll="0"/>
  </pivotFields>
  <rowFields count="1">
    <field x="1"/>
  </rowFields>
  <rowItems count="13">
    <i>
      <x/>
    </i>
    <i>
      <x v="1"/>
    </i>
    <i>
      <x v="2"/>
    </i>
    <i>
      <x v="3"/>
    </i>
    <i>
      <x v="4"/>
    </i>
    <i>
      <x v="5"/>
    </i>
    <i>
      <x v="6"/>
    </i>
    <i>
      <x v="7"/>
    </i>
    <i>
      <x v="8"/>
    </i>
    <i>
      <x v="9"/>
    </i>
    <i>
      <x v="10"/>
    </i>
    <i>
      <x v="11"/>
    </i>
    <i t="grand">
      <x/>
    </i>
  </rowItems>
  <colFields count="1">
    <field x="-2"/>
  </colFields>
  <colItems count="4">
    <i>
      <x/>
    </i>
    <i i="1">
      <x v="1"/>
    </i>
    <i i="2">
      <x v="2"/>
    </i>
    <i i="3">
      <x v="3"/>
    </i>
  </colItems>
  <dataFields count="4">
    <dataField name="Total Revenue" fld="6" baseField="0" baseItem="0" numFmtId="164"/>
    <dataField name="Total Profit" fld="9" baseField="0" baseItem="0" numFmtId="164"/>
    <dataField name="Total Expenses" fld="7" baseField="0" baseItem="0" numFmtId="164"/>
    <dataField name="UnitsSold" fld="5" baseField="0" baseItem="0" numFmtId="3"/>
  </dataFields>
  <chartFormats count="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78F31A-B9C9-45CD-954D-B2F8A05FFE18}" name="PT_StockFlow" cacheId="0" applyNumberFormats="0" applyBorderFormats="0" applyFontFormats="0" applyPatternFormats="0" applyAlignmentFormats="0" applyWidthHeightFormats="1" dataCaption="Values" showError="1" updatedVersion="8" minRefreshableVersion="3" showCalcMbrs="0" useAutoFormatting="1" itemPrintTitles="1" createdVersion="3" indent="0" compact="0" compactData="0" multipleFieldFilters="0" chartFormat="1">
  <location ref="T2:V16" firstHeaderRow="1" firstDataRow="2" firstDataCol="1"/>
  <pivotFields count="11">
    <pivotField compact="0" numFmtId="14" outline="0" showAll="0"/>
    <pivotField axis="axisRow" compact="0" outline="0" showAll="0">
      <items count="13">
        <item x="0"/>
        <item x="1"/>
        <item x="2"/>
        <item x="3"/>
        <item x="4"/>
        <item x="5"/>
        <item x="6"/>
        <item x="7"/>
        <item x="8"/>
        <item x="9"/>
        <item x="10"/>
        <item x="11"/>
        <item t="default"/>
      </items>
    </pivotField>
    <pivotField compact="0" outline="0" showAll="0"/>
    <pivotField compact="0" outline="0" showAll="0">
      <items count="5">
        <item x="3"/>
        <item x="0"/>
        <item x="1"/>
        <item x="2"/>
        <item t="default"/>
      </items>
    </pivotField>
    <pivotField dataField="1" compact="0" outline="0" showAll="0"/>
    <pivotField dataField="1" compact="0" outline="0" showAll="0"/>
    <pivotField compact="0" outline="0" showAll="0"/>
    <pivotField compact="0" outline="0" showAll="0"/>
    <pivotField compact="0" outline="0" showAll="0">
      <items count="6">
        <item h="1" x="2"/>
        <item h="1" x="3"/>
        <item x="4"/>
        <item h="1" x="0"/>
        <item h="1" x="1"/>
        <item t="default"/>
      </items>
    </pivotField>
    <pivotField compact="0" outline="0" showAll="0"/>
    <pivotField compact="0" outline="0" showAll="0"/>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StockIn" fld="4" baseField="0" baseItem="0" numFmtId="3"/>
    <dataField name="StockOut" fld="5" baseField="0" baseItem="0" numFmtId="3"/>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Month" xr10:uid="{21B825DD-B440-44BE-9F27-C66A3EF31097}" sourceName="Month">
  <pivotTables>
    <pivotTable tabId="5" name="PT_Monthly"/>
    <pivotTable tabId="5" name="PT_Category"/>
    <pivotTable tabId="5" name="PT_Product"/>
    <pivotTable tabId="5" name="PT_Supplier"/>
    <pivotTable tabId="5" name="PT_StockFlow"/>
  </pivotTables>
  <data>
    <tabular pivotCacheId="1557362029">
      <items count="12">
        <i x="0" s="1"/>
        <i x="1" s="1"/>
        <i x="2" s="1"/>
        <i x="3" s="1"/>
        <i x="4" s="1"/>
        <i x="5" s="1"/>
        <i x="6" s="1"/>
        <i x="7" s="1"/>
        <i x="8" s="1"/>
        <i x="9" s="1"/>
        <i x="10"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Supplier" xr10:uid="{418F1116-217E-47EE-A109-3F126102B8C3}" sourceName="Supplier">
  <pivotTables>
    <pivotTable tabId="5" name="PT_Supplier"/>
    <pivotTable tabId="5" name="PT_Monthly"/>
    <pivotTable tabId="5" name="PT_Category"/>
    <pivotTable tabId="5" name="PT_Product"/>
    <pivotTable tabId="5" name="PT_StockFlow"/>
  </pivotTables>
  <data>
    <tabular pivotCacheId="1557362029">
      <items count="5">
        <i x="2"/>
        <i x="3"/>
        <i x="4" s="1"/>
        <i x="0"/>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C_Category" xr10:uid="{33D571B0-266A-4FA4-85CC-CF66C475F5DE}" sourceName="Category">
  <pivotTables>
    <pivotTable tabId="5" name="PT_Category"/>
    <pivotTable tabId="5" name="PT_Monthly"/>
    <pivotTable tabId="5" name="PT_Product"/>
    <pivotTable tabId="5" name="PT_Supplier"/>
    <pivotTable tabId="5" name="PT_StockFlow"/>
  </pivotTables>
  <data>
    <tabular pivotCacheId="1557362029">
      <items count="4">
        <i x="3" s="1"/>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C_Month" xr10:uid="{903E4EA4-5731-40DA-9C09-C7C9C7432C58}" cache="SC_Month" caption="Month" columnCount="2" style="SlicerStyleDark1" lockedPosition="1" rowHeight="241300"/>
  <slicer name="SC_Supplier" xr10:uid="{86B74672-34B9-45A1-83EA-7F023CEAD592}" cache="SC_Supplier" caption="Supplier" columnCount="2" style="SlicerStyleDark1" lockedPosition="1" rowHeight="241300"/>
  <slicer name="SC_Category" xr10:uid="{2973AA1E-6305-49B9-9010-1C691438E96D}" cache="SC_Category" caption="Category" columnCount="2" style="SlicerStyleDark1" lockedPosition="1"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34C98-FF84-4EDD-8791-A3B6D852F9BE}">
  <sheetPr codeName="Sheet1"/>
  <dimension ref="A1:K366"/>
  <sheetViews>
    <sheetView tabSelected="1" topLeftCell="E1" workbookViewId="0">
      <selection activeCell="Q16" sqref="Q16"/>
    </sheetView>
  </sheetViews>
  <sheetFormatPr defaultRowHeight="15" x14ac:dyDescent="0.25"/>
  <cols>
    <col min="1" max="1" width="9.7109375" bestFit="1" customWidth="1"/>
    <col min="2" max="2" width="11.5703125" bestFit="1" customWidth="1"/>
    <col min="3" max="3" width="17.7109375" bestFit="1" customWidth="1"/>
    <col min="4" max="4" width="13.42578125" bestFit="1" customWidth="1"/>
    <col min="5" max="5" width="12.42578125" bestFit="1" customWidth="1"/>
    <col min="6" max="6" width="14" bestFit="1" customWidth="1"/>
    <col min="7" max="7" width="13.42578125" bestFit="1" customWidth="1"/>
    <col min="8" max="8" width="13.85546875" bestFit="1" customWidth="1"/>
    <col min="9" max="9" width="13" bestFit="1" customWidth="1"/>
    <col min="10" max="10" width="10.5703125" bestFit="1" customWidth="1"/>
    <col min="11" max="11" width="15" bestFit="1" customWidth="1"/>
  </cols>
  <sheetData>
    <row r="1" spans="1:11" x14ac:dyDescent="0.25">
      <c r="A1" s="3" t="s">
        <v>0</v>
      </c>
      <c r="B1" s="3" t="s">
        <v>1</v>
      </c>
      <c r="C1" s="3" t="s">
        <v>2</v>
      </c>
      <c r="D1" s="3" t="s">
        <v>3</v>
      </c>
      <c r="E1" s="3" t="s">
        <v>4</v>
      </c>
      <c r="F1" s="3" t="s">
        <v>5</v>
      </c>
      <c r="G1" s="3" t="s">
        <v>6</v>
      </c>
      <c r="H1" s="3" t="s">
        <v>7</v>
      </c>
      <c r="I1" s="3" t="s">
        <v>8</v>
      </c>
      <c r="J1" s="3" t="s">
        <v>9</v>
      </c>
      <c r="K1" s="4" t="s">
        <v>10</v>
      </c>
    </row>
    <row r="2" spans="1:11" x14ac:dyDescent="0.25">
      <c r="A2" s="5">
        <v>45292</v>
      </c>
      <c r="B2" s="6" t="s">
        <v>11</v>
      </c>
      <c r="C2" s="6" t="s">
        <v>12</v>
      </c>
      <c r="D2" s="6" t="s">
        <v>13</v>
      </c>
      <c r="E2" s="6">
        <v>61</v>
      </c>
      <c r="F2" s="6">
        <v>12</v>
      </c>
      <c r="G2" s="6">
        <v>5904</v>
      </c>
      <c r="H2" s="6">
        <v>1482</v>
      </c>
      <c r="I2" s="6" t="s">
        <v>14</v>
      </c>
      <c r="J2" s="6">
        <v>4422</v>
      </c>
      <c r="K2" s="7">
        <f t="shared" ref="K2:K65" si="0">IF(F2=0,0,J2/F2)</f>
        <v>368.5</v>
      </c>
    </row>
    <row r="3" spans="1:11" x14ac:dyDescent="0.25">
      <c r="A3" s="8">
        <v>45293</v>
      </c>
      <c r="B3" s="9" t="s">
        <v>11</v>
      </c>
      <c r="C3" s="9" t="s">
        <v>15</v>
      </c>
      <c r="D3" s="9" t="s">
        <v>13</v>
      </c>
      <c r="E3" s="9">
        <v>54</v>
      </c>
      <c r="F3" s="9">
        <v>45</v>
      </c>
      <c r="G3" s="9">
        <v>15930</v>
      </c>
      <c r="H3" s="9">
        <v>4679</v>
      </c>
      <c r="I3" s="9" t="s">
        <v>16</v>
      </c>
      <c r="J3" s="9">
        <v>11251</v>
      </c>
      <c r="K3" s="10">
        <f t="shared" si="0"/>
        <v>250.02222222222221</v>
      </c>
    </row>
    <row r="4" spans="1:11" x14ac:dyDescent="0.25">
      <c r="A4" s="11">
        <v>45294</v>
      </c>
      <c r="B4" s="12" t="s">
        <v>11</v>
      </c>
      <c r="C4" s="12" t="s">
        <v>12</v>
      </c>
      <c r="D4" s="12" t="s">
        <v>13</v>
      </c>
      <c r="E4" s="12">
        <v>118</v>
      </c>
      <c r="F4" s="12">
        <v>106</v>
      </c>
      <c r="G4" s="12">
        <v>34344</v>
      </c>
      <c r="H4" s="12">
        <v>14426</v>
      </c>
      <c r="I4" s="12" t="s">
        <v>14</v>
      </c>
      <c r="J4" s="12">
        <v>19918</v>
      </c>
      <c r="K4" s="13">
        <f t="shared" si="0"/>
        <v>187.90566037735849</v>
      </c>
    </row>
    <row r="5" spans="1:11" x14ac:dyDescent="0.25">
      <c r="A5" s="8">
        <v>45295</v>
      </c>
      <c r="B5" s="9" t="s">
        <v>11</v>
      </c>
      <c r="C5" s="9" t="s">
        <v>17</v>
      </c>
      <c r="D5" s="9" t="s">
        <v>18</v>
      </c>
      <c r="E5" s="9">
        <v>104</v>
      </c>
      <c r="F5" s="9">
        <v>100</v>
      </c>
      <c r="G5" s="9">
        <v>36400</v>
      </c>
      <c r="H5" s="9">
        <v>14819</v>
      </c>
      <c r="I5" s="9" t="s">
        <v>16</v>
      </c>
      <c r="J5" s="9">
        <v>21581</v>
      </c>
      <c r="K5" s="10">
        <f t="shared" si="0"/>
        <v>215.81</v>
      </c>
    </row>
    <row r="6" spans="1:11" x14ac:dyDescent="0.25">
      <c r="A6" s="11">
        <v>45296</v>
      </c>
      <c r="B6" s="12" t="s">
        <v>11</v>
      </c>
      <c r="C6" s="12" t="s">
        <v>19</v>
      </c>
      <c r="D6" s="12" t="s">
        <v>20</v>
      </c>
      <c r="E6" s="12">
        <v>72</v>
      </c>
      <c r="F6" s="12">
        <v>59</v>
      </c>
      <c r="G6" s="12">
        <v>8732</v>
      </c>
      <c r="H6" s="12">
        <v>2636</v>
      </c>
      <c r="I6" s="12" t="s">
        <v>16</v>
      </c>
      <c r="J6" s="12">
        <v>6096</v>
      </c>
      <c r="K6" s="13">
        <f t="shared" si="0"/>
        <v>103.32203389830508</v>
      </c>
    </row>
    <row r="7" spans="1:11" x14ac:dyDescent="0.25">
      <c r="A7" s="8">
        <v>45297</v>
      </c>
      <c r="B7" s="9" t="s">
        <v>11</v>
      </c>
      <c r="C7" s="9" t="s">
        <v>17</v>
      </c>
      <c r="D7" s="9" t="s">
        <v>18</v>
      </c>
      <c r="E7" s="9">
        <v>55</v>
      </c>
      <c r="F7" s="9">
        <v>18</v>
      </c>
      <c r="G7" s="9">
        <v>5652</v>
      </c>
      <c r="H7" s="9">
        <v>1722</v>
      </c>
      <c r="I7" s="9" t="s">
        <v>16</v>
      </c>
      <c r="J7" s="9">
        <v>3930</v>
      </c>
      <c r="K7" s="10">
        <f t="shared" si="0"/>
        <v>218.33333333333334</v>
      </c>
    </row>
    <row r="8" spans="1:11" x14ac:dyDescent="0.25">
      <c r="A8" s="11">
        <v>45298</v>
      </c>
      <c r="B8" s="12" t="s">
        <v>11</v>
      </c>
      <c r="C8" s="12" t="s">
        <v>12</v>
      </c>
      <c r="D8" s="12" t="s">
        <v>13</v>
      </c>
      <c r="E8" s="12">
        <v>99</v>
      </c>
      <c r="F8" s="12">
        <v>90</v>
      </c>
      <c r="G8" s="12">
        <v>43830</v>
      </c>
      <c r="H8" s="12">
        <v>13565</v>
      </c>
      <c r="I8" s="12" t="s">
        <v>16</v>
      </c>
      <c r="J8" s="12">
        <v>30265</v>
      </c>
      <c r="K8" s="13">
        <f t="shared" si="0"/>
        <v>336.27777777777777</v>
      </c>
    </row>
    <row r="9" spans="1:11" x14ac:dyDescent="0.25">
      <c r="A9" s="8">
        <v>45299</v>
      </c>
      <c r="B9" s="9" t="s">
        <v>11</v>
      </c>
      <c r="C9" s="9" t="s">
        <v>19</v>
      </c>
      <c r="D9" s="9" t="s">
        <v>20</v>
      </c>
      <c r="E9" s="9">
        <v>21</v>
      </c>
      <c r="F9" s="9">
        <v>13</v>
      </c>
      <c r="G9" s="9">
        <v>6487</v>
      </c>
      <c r="H9" s="9">
        <v>3186</v>
      </c>
      <c r="I9" s="9" t="s">
        <v>21</v>
      </c>
      <c r="J9" s="9">
        <v>3301</v>
      </c>
      <c r="K9" s="10">
        <f t="shared" si="0"/>
        <v>253.92307692307693</v>
      </c>
    </row>
    <row r="10" spans="1:11" x14ac:dyDescent="0.25">
      <c r="A10" s="11">
        <v>45300</v>
      </c>
      <c r="B10" s="12" t="s">
        <v>11</v>
      </c>
      <c r="C10" s="12" t="s">
        <v>22</v>
      </c>
      <c r="D10" s="12" t="s">
        <v>18</v>
      </c>
      <c r="E10" s="12">
        <v>113</v>
      </c>
      <c r="F10" s="12">
        <v>16</v>
      </c>
      <c r="G10" s="12">
        <v>5232</v>
      </c>
      <c r="H10" s="12">
        <v>1830</v>
      </c>
      <c r="I10" s="12" t="s">
        <v>21</v>
      </c>
      <c r="J10" s="12">
        <v>3402</v>
      </c>
      <c r="K10" s="13">
        <f t="shared" si="0"/>
        <v>212.625</v>
      </c>
    </row>
    <row r="11" spans="1:11" x14ac:dyDescent="0.25">
      <c r="A11" s="8">
        <v>45301</v>
      </c>
      <c r="B11" s="9" t="s">
        <v>11</v>
      </c>
      <c r="C11" s="9" t="s">
        <v>12</v>
      </c>
      <c r="D11" s="9" t="s">
        <v>13</v>
      </c>
      <c r="E11" s="9">
        <v>71</v>
      </c>
      <c r="F11" s="9">
        <v>18</v>
      </c>
      <c r="G11" s="9">
        <v>8946</v>
      </c>
      <c r="H11" s="9">
        <v>2423</v>
      </c>
      <c r="I11" s="9" t="s">
        <v>23</v>
      </c>
      <c r="J11" s="9">
        <v>6523</v>
      </c>
      <c r="K11" s="10">
        <f t="shared" si="0"/>
        <v>362.38888888888891</v>
      </c>
    </row>
    <row r="12" spans="1:11" x14ac:dyDescent="0.25">
      <c r="A12" s="11">
        <v>45302</v>
      </c>
      <c r="B12" s="12" t="s">
        <v>11</v>
      </c>
      <c r="C12" s="12" t="s">
        <v>17</v>
      </c>
      <c r="D12" s="12" t="s">
        <v>18</v>
      </c>
      <c r="E12" s="12">
        <v>51</v>
      </c>
      <c r="F12" s="12">
        <v>19</v>
      </c>
      <c r="G12" s="12">
        <v>6878</v>
      </c>
      <c r="H12" s="12">
        <v>2102</v>
      </c>
      <c r="I12" s="12" t="s">
        <v>21</v>
      </c>
      <c r="J12" s="12">
        <v>4776</v>
      </c>
      <c r="K12" s="13">
        <f t="shared" si="0"/>
        <v>251.36842105263159</v>
      </c>
    </row>
    <row r="13" spans="1:11" x14ac:dyDescent="0.25">
      <c r="A13" s="8">
        <v>45303</v>
      </c>
      <c r="B13" s="9" t="s">
        <v>11</v>
      </c>
      <c r="C13" s="9" t="s">
        <v>24</v>
      </c>
      <c r="D13" s="9" t="s">
        <v>18</v>
      </c>
      <c r="E13" s="9">
        <v>91</v>
      </c>
      <c r="F13" s="9">
        <v>20</v>
      </c>
      <c r="G13" s="9">
        <v>9360</v>
      </c>
      <c r="H13" s="9">
        <v>3796</v>
      </c>
      <c r="I13" s="9" t="s">
        <v>23</v>
      </c>
      <c r="J13" s="9">
        <v>5564</v>
      </c>
      <c r="K13" s="10">
        <f t="shared" si="0"/>
        <v>278.2</v>
      </c>
    </row>
    <row r="14" spans="1:11" x14ac:dyDescent="0.25">
      <c r="A14" s="11">
        <v>45304</v>
      </c>
      <c r="B14" s="12" t="s">
        <v>11</v>
      </c>
      <c r="C14" s="12" t="s">
        <v>24</v>
      </c>
      <c r="D14" s="12" t="s">
        <v>18</v>
      </c>
      <c r="E14" s="12">
        <v>57</v>
      </c>
      <c r="F14" s="12">
        <v>36</v>
      </c>
      <c r="G14" s="12">
        <v>5076</v>
      </c>
      <c r="H14" s="12">
        <v>1478</v>
      </c>
      <c r="I14" s="12" t="s">
        <v>23</v>
      </c>
      <c r="J14" s="12">
        <v>3598</v>
      </c>
      <c r="K14" s="13">
        <f t="shared" si="0"/>
        <v>99.944444444444443</v>
      </c>
    </row>
    <row r="15" spans="1:11" x14ac:dyDescent="0.25">
      <c r="A15" s="8">
        <v>45305</v>
      </c>
      <c r="B15" s="9" t="s">
        <v>11</v>
      </c>
      <c r="C15" s="9" t="s">
        <v>12</v>
      </c>
      <c r="D15" s="9" t="s">
        <v>13</v>
      </c>
      <c r="E15" s="9">
        <v>62</v>
      </c>
      <c r="F15" s="9">
        <v>60</v>
      </c>
      <c r="G15" s="9">
        <v>15780</v>
      </c>
      <c r="H15" s="9">
        <v>4958</v>
      </c>
      <c r="I15" s="9" t="s">
        <v>14</v>
      </c>
      <c r="J15" s="9">
        <v>10822</v>
      </c>
      <c r="K15" s="10">
        <f t="shared" si="0"/>
        <v>180.36666666666667</v>
      </c>
    </row>
    <row r="16" spans="1:11" x14ac:dyDescent="0.25">
      <c r="A16" s="11">
        <v>45306</v>
      </c>
      <c r="B16" s="12" t="s">
        <v>11</v>
      </c>
      <c r="C16" s="12" t="s">
        <v>15</v>
      </c>
      <c r="D16" s="12" t="s">
        <v>13</v>
      </c>
      <c r="E16" s="12">
        <v>65</v>
      </c>
      <c r="F16" s="12">
        <v>30</v>
      </c>
      <c r="G16" s="12">
        <v>13140</v>
      </c>
      <c r="H16" s="12">
        <v>2765</v>
      </c>
      <c r="I16" s="12" t="s">
        <v>14</v>
      </c>
      <c r="J16" s="12">
        <v>10375</v>
      </c>
      <c r="K16" s="13">
        <f t="shared" si="0"/>
        <v>345.83333333333331</v>
      </c>
    </row>
    <row r="17" spans="1:11" x14ac:dyDescent="0.25">
      <c r="A17" s="8">
        <v>45307</v>
      </c>
      <c r="B17" s="9" t="s">
        <v>11</v>
      </c>
      <c r="C17" s="9" t="s">
        <v>25</v>
      </c>
      <c r="D17" s="9" t="s">
        <v>26</v>
      </c>
      <c r="E17" s="9">
        <v>67</v>
      </c>
      <c r="F17" s="9">
        <v>26</v>
      </c>
      <c r="G17" s="9">
        <v>7254</v>
      </c>
      <c r="H17" s="9">
        <v>3031</v>
      </c>
      <c r="I17" s="9" t="s">
        <v>27</v>
      </c>
      <c r="J17" s="9">
        <v>4223</v>
      </c>
      <c r="K17" s="10">
        <f t="shared" si="0"/>
        <v>162.42307692307693</v>
      </c>
    </row>
    <row r="18" spans="1:11" x14ac:dyDescent="0.25">
      <c r="A18" s="11">
        <v>45308</v>
      </c>
      <c r="B18" s="12" t="s">
        <v>11</v>
      </c>
      <c r="C18" s="12" t="s">
        <v>15</v>
      </c>
      <c r="D18" s="12" t="s">
        <v>13</v>
      </c>
      <c r="E18" s="12">
        <v>89</v>
      </c>
      <c r="F18" s="12">
        <v>23</v>
      </c>
      <c r="G18" s="12">
        <v>10488</v>
      </c>
      <c r="H18" s="12">
        <v>2610</v>
      </c>
      <c r="I18" s="12" t="s">
        <v>27</v>
      </c>
      <c r="J18" s="12">
        <v>7878</v>
      </c>
      <c r="K18" s="13">
        <f t="shared" si="0"/>
        <v>342.52173913043481</v>
      </c>
    </row>
    <row r="19" spans="1:11" x14ac:dyDescent="0.25">
      <c r="A19" s="8">
        <v>45309</v>
      </c>
      <c r="B19" s="9" t="s">
        <v>11</v>
      </c>
      <c r="C19" s="9" t="s">
        <v>15</v>
      </c>
      <c r="D19" s="9" t="s">
        <v>13</v>
      </c>
      <c r="E19" s="9">
        <v>114</v>
      </c>
      <c r="F19" s="9">
        <v>110</v>
      </c>
      <c r="G19" s="9">
        <v>29810</v>
      </c>
      <c r="H19" s="9">
        <v>6512</v>
      </c>
      <c r="I19" s="9" t="s">
        <v>27</v>
      </c>
      <c r="J19" s="9">
        <v>23298</v>
      </c>
      <c r="K19" s="10">
        <f t="shared" si="0"/>
        <v>211.8</v>
      </c>
    </row>
    <row r="20" spans="1:11" x14ac:dyDescent="0.25">
      <c r="A20" s="11">
        <v>45310</v>
      </c>
      <c r="B20" s="12" t="s">
        <v>11</v>
      </c>
      <c r="C20" s="12" t="s">
        <v>19</v>
      </c>
      <c r="D20" s="12" t="s">
        <v>20</v>
      </c>
      <c r="E20" s="12">
        <v>117</v>
      </c>
      <c r="F20" s="12">
        <v>113</v>
      </c>
      <c r="G20" s="12">
        <v>34578</v>
      </c>
      <c r="H20" s="12">
        <v>9219</v>
      </c>
      <c r="I20" s="12" t="s">
        <v>27</v>
      </c>
      <c r="J20" s="12">
        <v>25359</v>
      </c>
      <c r="K20" s="13">
        <f t="shared" si="0"/>
        <v>224.41592920353983</v>
      </c>
    </row>
    <row r="21" spans="1:11" x14ac:dyDescent="0.25">
      <c r="A21" s="8">
        <v>45311</v>
      </c>
      <c r="B21" s="9" t="s">
        <v>11</v>
      </c>
      <c r="C21" s="9" t="s">
        <v>17</v>
      </c>
      <c r="D21" s="9" t="s">
        <v>18</v>
      </c>
      <c r="E21" s="9">
        <v>112</v>
      </c>
      <c r="F21" s="9">
        <v>71</v>
      </c>
      <c r="G21" s="9">
        <v>24992</v>
      </c>
      <c r="H21" s="9">
        <v>9083</v>
      </c>
      <c r="I21" s="9" t="s">
        <v>23</v>
      </c>
      <c r="J21" s="9">
        <v>15909</v>
      </c>
      <c r="K21" s="10">
        <f t="shared" si="0"/>
        <v>224.07042253521126</v>
      </c>
    </row>
    <row r="22" spans="1:11" x14ac:dyDescent="0.25">
      <c r="A22" s="11">
        <v>45312</v>
      </c>
      <c r="B22" s="12" t="s">
        <v>11</v>
      </c>
      <c r="C22" s="12" t="s">
        <v>15</v>
      </c>
      <c r="D22" s="12" t="s">
        <v>13</v>
      </c>
      <c r="E22" s="12">
        <v>78</v>
      </c>
      <c r="F22" s="12">
        <v>68</v>
      </c>
      <c r="G22" s="12">
        <v>27336</v>
      </c>
      <c r="H22" s="12">
        <v>11345</v>
      </c>
      <c r="I22" s="12" t="s">
        <v>14</v>
      </c>
      <c r="J22" s="12">
        <v>15991</v>
      </c>
      <c r="K22" s="13">
        <f t="shared" si="0"/>
        <v>235.16176470588235</v>
      </c>
    </row>
    <row r="23" spans="1:11" x14ac:dyDescent="0.25">
      <c r="A23" s="8">
        <v>45313</v>
      </c>
      <c r="B23" s="9" t="s">
        <v>11</v>
      </c>
      <c r="C23" s="9" t="s">
        <v>19</v>
      </c>
      <c r="D23" s="9" t="s">
        <v>20</v>
      </c>
      <c r="E23" s="9">
        <v>59</v>
      </c>
      <c r="F23" s="9">
        <v>51</v>
      </c>
      <c r="G23" s="9">
        <v>9741</v>
      </c>
      <c r="H23" s="9">
        <v>4411</v>
      </c>
      <c r="I23" s="9" t="s">
        <v>21</v>
      </c>
      <c r="J23" s="9">
        <v>5330</v>
      </c>
      <c r="K23" s="10">
        <f t="shared" si="0"/>
        <v>104.50980392156863</v>
      </c>
    </row>
    <row r="24" spans="1:11" x14ac:dyDescent="0.25">
      <c r="A24" s="11">
        <v>45314</v>
      </c>
      <c r="B24" s="12" t="s">
        <v>11</v>
      </c>
      <c r="C24" s="12" t="s">
        <v>25</v>
      </c>
      <c r="D24" s="12" t="s">
        <v>26</v>
      </c>
      <c r="E24" s="12">
        <v>70</v>
      </c>
      <c r="F24" s="12">
        <v>28</v>
      </c>
      <c r="G24" s="12">
        <v>6440</v>
      </c>
      <c r="H24" s="12">
        <v>1320</v>
      </c>
      <c r="I24" s="12" t="s">
        <v>14</v>
      </c>
      <c r="J24" s="12">
        <v>5120</v>
      </c>
      <c r="K24" s="13">
        <f t="shared" si="0"/>
        <v>182.85714285714286</v>
      </c>
    </row>
    <row r="25" spans="1:11" x14ac:dyDescent="0.25">
      <c r="A25" s="8">
        <v>45315</v>
      </c>
      <c r="B25" s="9" t="s">
        <v>11</v>
      </c>
      <c r="C25" s="9" t="s">
        <v>19</v>
      </c>
      <c r="D25" s="9" t="s">
        <v>20</v>
      </c>
      <c r="E25" s="9">
        <v>30</v>
      </c>
      <c r="F25" s="9">
        <v>22</v>
      </c>
      <c r="G25" s="9">
        <v>8382</v>
      </c>
      <c r="H25" s="9">
        <v>2106</v>
      </c>
      <c r="I25" s="9" t="s">
        <v>27</v>
      </c>
      <c r="J25" s="9">
        <v>6276</v>
      </c>
      <c r="K25" s="10">
        <f t="shared" si="0"/>
        <v>285.27272727272725</v>
      </c>
    </row>
    <row r="26" spans="1:11" x14ac:dyDescent="0.25">
      <c r="A26" s="11">
        <v>45316</v>
      </c>
      <c r="B26" s="12" t="s">
        <v>11</v>
      </c>
      <c r="C26" s="12" t="s">
        <v>25</v>
      </c>
      <c r="D26" s="12" t="s">
        <v>26</v>
      </c>
      <c r="E26" s="12">
        <v>44</v>
      </c>
      <c r="F26" s="12">
        <v>15</v>
      </c>
      <c r="G26" s="12">
        <v>1950</v>
      </c>
      <c r="H26" s="12">
        <v>557</v>
      </c>
      <c r="I26" s="12" t="s">
        <v>23</v>
      </c>
      <c r="J26" s="12">
        <v>1393</v>
      </c>
      <c r="K26" s="13">
        <f t="shared" si="0"/>
        <v>92.86666666666666</v>
      </c>
    </row>
    <row r="27" spans="1:11" x14ac:dyDescent="0.25">
      <c r="A27" s="8">
        <v>45317</v>
      </c>
      <c r="B27" s="9" t="s">
        <v>11</v>
      </c>
      <c r="C27" s="9" t="s">
        <v>25</v>
      </c>
      <c r="D27" s="9" t="s">
        <v>26</v>
      </c>
      <c r="E27" s="9">
        <v>65</v>
      </c>
      <c r="F27" s="9">
        <v>60</v>
      </c>
      <c r="G27" s="9">
        <v>11760</v>
      </c>
      <c r="H27" s="9">
        <v>3189</v>
      </c>
      <c r="I27" s="9" t="s">
        <v>23</v>
      </c>
      <c r="J27" s="9">
        <v>8571</v>
      </c>
      <c r="K27" s="10">
        <f t="shared" si="0"/>
        <v>142.85</v>
      </c>
    </row>
    <row r="28" spans="1:11" x14ac:dyDescent="0.25">
      <c r="A28" s="11">
        <v>45318</v>
      </c>
      <c r="B28" s="12" t="s">
        <v>11</v>
      </c>
      <c r="C28" s="12" t="s">
        <v>22</v>
      </c>
      <c r="D28" s="12" t="s">
        <v>18</v>
      </c>
      <c r="E28" s="12">
        <v>39</v>
      </c>
      <c r="F28" s="12">
        <v>16</v>
      </c>
      <c r="G28" s="12">
        <v>3040</v>
      </c>
      <c r="H28" s="12">
        <v>1385</v>
      </c>
      <c r="I28" s="12" t="s">
        <v>16</v>
      </c>
      <c r="J28" s="12">
        <v>1655</v>
      </c>
      <c r="K28" s="13">
        <f t="shared" si="0"/>
        <v>103.4375</v>
      </c>
    </row>
    <row r="29" spans="1:11" x14ac:dyDescent="0.25">
      <c r="A29" s="8">
        <v>45319</v>
      </c>
      <c r="B29" s="9" t="s">
        <v>11</v>
      </c>
      <c r="C29" s="9" t="s">
        <v>15</v>
      </c>
      <c r="D29" s="9" t="s">
        <v>13</v>
      </c>
      <c r="E29" s="9">
        <v>52</v>
      </c>
      <c r="F29" s="9">
        <v>50</v>
      </c>
      <c r="G29" s="9">
        <v>22000</v>
      </c>
      <c r="H29" s="9">
        <v>6901</v>
      </c>
      <c r="I29" s="9" t="s">
        <v>16</v>
      </c>
      <c r="J29" s="9">
        <v>15099</v>
      </c>
      <c r="K29" s="10">
        <f t="shared" si="0"/>
        <v>301.98</v>
      </c>
    </row>
    <row r="30" spans="1:11" x14ac:dyDescent="0.25">
      <c r="A30" s="11">
        <v>45320</v>
      </c>
      <c r="B30" s="12" t="s">
        <v>11</v>
      </c>
      <c r="C30" s="12" t="s">
        <v>25</v>
      </c>
      <c r="D30" s="12" t="s">
        <v>26</v>
      </c>
      <c r="E30" s="12">
        <v>116</v>
      </c>
      <c r="F30" s="12">
        <v>82</v>
      </c>
      <c r="G30" s="12">
        <v>31160</v>
      </c>
      <c r="H30" s="12">
        <v>7239</v>
      </c>
      <c r="I30" s="12" t="s">
        <v>23</v>
      </c>
      <c r="J30" s="12">
        <v>23921</v>
      </c>
      <c r="K30" s="13">
        <f t="shared" si="0"/>
        <v>291.71951219512198</v>
      </c>
    </row>
    <row r="31" spans="1:11" x14ac:dyDescent="0.25">
      <c r="A31" s="8">
        <v>45321</v>
      </c>
      <c r="B31" s="9" t="s">
        <v>11</v>
      </c>
      <c r="C31" s="9" t="s">
        <v>25</v>
      </c>
      <c r="D31" s="9" t="s">
        <v>26</v>
      </c>
      <c r="E31" s="9">
        <v>107</v>
      </c>
      <c r="F31" s="9">
        <v>31</v>
      </c>
      <c r="G31" s="9">
        <v>3379</v>
      </c>
      <c r="H31" s="9">
        <v>1108</v>
      </c>
      <c r="I31" s="9" t="s">
        <v>23</v>
      </c>
      <c r="J31" s="9">
        <v>2271</v>
      </c>
      <c r="K31" s="10">
        <f t="shared" si="0"/>
        <v>73.258064516129039</v>
      </c>
    </row>
    <row r="32" spans="1:11" x14ac:dyDescent="0.25">
      <c r="A32" s="11">
        <v>45322</v>
      </c>
      <c r="B32" s="12" t="s">
        <v>11</v>
      </c>
      <c r="C32" s="12" t="s">
        <v>25</v>
      </c>
      <c r="D32" s="12" t="s">
        <v>26</v>
      </c>
      <c r="E32" s="12">
        <v>102</v>
      </c>
      <c r="F32" s="12">
        <v>68</v>
      </c>
      <c r="G32" s="12">
        <v>33184</v>
      </c>
      <c r="H32" s="12">
        <v>9959</v>
      </c>
      <c r="I32" s="12" t="s">
        <v>14</v>
      </c>
      <c r="J32" s="12">
        <v>23225</v>
      </c>
      <c r="K32" s="13">
        <f t="shared" si="0"/>
        <v>341.54411764705884</v>
      </c>
    </row>
    <row r="33" spans="1:11" x14ac:dyDescent="0.25">
      <c r="A33" s="8">
        <v>45323</v>
      </c>
      <c r="B33" s="9" t="s">
        <v>28</v>
      </c>
      <c r="C33" s="9" t="s">
        <v>12</v>
      </c>
      <c r="D33" s="9" t="s">
        <v>13</v>
      </c>
      <c r="E33" s="9">
        <v>55</v>
      </c>
      <c r="F33" s="9">
        <v>32</v>
      </c>
      <c r="G33" s="9">
        <v>11456</v>
      </c>
      <c r="H33" s="9">
        <v>2721</v>
      </c>
      <c r="I33" s="9" t="s">
        <v>14</v>
      </c>
      <c r="J33" s="9">
        <v>8735</v>
      </c>
      <c r="K33" s="10">
        <f t="shared" si="0"/>
        <v>272.96875</v>
      </c>
    </row>
    <row r="34" spans="1:11" x14ac:dyDescent="0.25">
      <c r="A34" s="11">
        <v>45324</v>
      </c>
      <c r="B34" s="12" t="s">
        <v>28</v>
      </c>
      <c r="C34" s="12" t="s">
        <v>17</v>
      </c>
      <c r="D34" s="12" t="s">
        <v>18</v>
      </c>
      <c r="E34" s="12">
        <v>113</v>
      </c>
      <c r="F34" s="12">
        <v>32</v>
      </c>
      <c r="G34" s="12">
        <v>9728</v>
      </c>
      <c r="H34" s="12">
        <v>4401</v>
      </c>
      <c r="I34" s="12" t="s">
        <v>27</v>
      </c>
      <c r="J34" s="12">
        <v>5327</v>
      </c>
      <c r="K34" s="13">
        <f t="shared" si="0"/>
        <v>166.46875</v>
      </c>
    </row>
    <row r="35" spans="1:11" x14ac:dyDescent="0.25">
      <c r="A35" s="8">
        <v>45325</v>
      </c>
      <c r="B35" s="9" t="s">
        <v>28</v>
      </c>
      <c r="C35" s="9" t="s">
        <v>24</v>
      </c>
      <c r="D35" s="9" t="s">
        <v>18</v>
      </c>
      <c r="E35" s="9">
        <v>37</v>
      </c>
      <c r="F35" s="9">
        <v>11</v>
      </c>
      <c r="G35" s="9">
        <v>1133</v>
      </c>
      <c r="H35" s="9">
        <v>262</v>
      </c>
      <c r="I35" s="9" t="s">
        <v>23</v>
      </c>
      <c r="J35" s="9">
        <v>871</v>
      </c>
      <c r="K35" s="10">
        <f t="shared" si="0"/>
        <v>79.181818181818187</v>
      </c>
    </row>
    <row r="36" spans="1:11" x14ac:dyDescent="0.25">
      <c r="A36" s="11">
        <v>45326</v>
      </c>
      <c r="B36" s="12" t="s">
        <v>28</v>
      </c>
      <c r="C36" s="12" t="s">
        <v>15</v>
      </c>
      <c r="D36" s="12" t="s">
        <v>13</v>
      </c>
      <c r="E36" s="12">
        <v>37</v>
      </c>
      <c r="F36" s="12">
        <v>13</v>
      </c>
      <c r="G36" s="12">
        <v>1326</v>
      </c>
      <c r="H36" s="12">
        <v>332</v>
      </c>
      <c r="I36" s="12" t="s">
        <v>23</v>
      </c>
      <c r="J36" s="12">
        <v>994</v>
      </c>
      <c r="K36" s="13">
        <f t="shared" si="0"/>
        <v>76.461538461538467</v>
      </c>
    </row>
    <row r="37" spans="1:11" x14ac:dyDescent="0.25">
      <c r="A37" s="8">
        <v>45327</v>
      </c>
      <c r="B37" s="9" t="s">
        <v>28</v>
      </c>
      <c r="C37" s="9" t="s">
        <v>15</v>
      </c>
      <c r="D37" s="9" t="s">
        <v>13</v>
      </c>
      <c r="E37" s="9">
        <v>94</v>
      </c>
      <c r="F37" s="9">
        <v>22</v>
      </c>
      <c r="G37" s="9">
        <v>9570</v>
      </c>
      <c r="H37" s="9">
        <v>2702</v>
      </c>
      <c r="I37" s="9" t="s">
        <v>21</v>
      </c>
      <c r="J37" s="9">
        <v>6868</v>
      </c>
      <c r="K37" s="10">
        <f t="shared" si="0"/>
        <v>312.18181818181819</v>
      </c>
    </row>
    <row r="38" spans="1:11" x14ac:dyDescent="0.25">
      <c r="A38" s="11">
        <v>45328</v>
      </c>
      <c r="B38" s="12" t="s">
        <v>28</v>
      </c>
      <c r="C38" s="12" t="s">
        <v>12</v>
      </c>
      <c r="D38" s="12" t="s">
        <v>13</v>
      </c>
      <c r="E38" s="12">
        <v>58</v>
      </c>
      <c r="F38" s="12">
        <v>32</v>
      </c>
      <c r="G38" s="12">
        <v>5632</v>
      </c>
      <c r="H38" s="12">
        <v>1232</v>
      </c>
      <c r="I38" s="12" t="s">
        <v>23</v>
      </c>
      <c r="J38" s="12">
        <v>4400</v>
      </c>
      <c r="K38" s="13">
        <f t="shared" si="0"/>
        <v>137.5</v>
      </c>
    </row>
    <row r="39" spans="1:11" x14ac:dyDescent="0.25">
      <c r="A39" s="8">
        <v>45329</v>
      </c>
      <c r="B39" s="9" t="s">
        <v>28</v>
      </c>
      <c r="C39" s="9" t="s">
        <v>12</v>
      </c>
      <c r="D39" s="9" t="s">
        <v>13</v>
      </c>
      <c r="E39" s="9">
        <v>104</v>
      </c>
      <c r="F39" s="9">
        <v>52</v>
      </c>
      <c r="G39" s="9">
        <v>19552</v>
      </c>
      <c r="H39" s="9">
        <v>8253</v>
      </c>
      <c r="I39" s="9" t="s">
        <v>23</v>
      </c>
      <c r="J39" s="9">
        <v>11299</v>
      </c>
      <c r="K39" s="10">
        <f t="shared" si="0"/>
        <v>217.28846153846155</v>
      </c>
    </row>
    <row r="40" spans="1:11" x14ac:dyDescent="0.25">
      <c r="A40" s="11">
        <v>45330</v>
      </c>
      <c r="B40" s="12" t="s">
        <v>28</v>
      </c>
      <c r="C40" s="12" t="s">
        <v>25</v>
      </c>
      <c r="D40" s="12" t="s">
        <v>26</v>
      </c>
      <c r="E40" s="12">
        <v>29</v>
      </c>
      <c r="F40" s="12">
        <v>14</v>
      </c>
      <c r="G40" s="12">
        <v>5964</v>
      </c>
      <c r="H40" s="12">
        <v>1829</v>
      </c>
      <c r="I40" s="12" t="s">
        <v>23</v>
      </c>
      <c r="J40" s="12">
        <v>4135</v>
      </c>
      <c r="K40" s="13">
        <f t="shared" si="0"/>
        <v>295.35714285714283</v>
      </c>
    </row>
    <row r="41" spans="1:11" x14ac:dyDescent="0.25">
      <c r="A41" s="8">
        <v>45331</v>
      </c>
      <c r="B41" s="9" t="s">
        <v>28</v>
      </c>
      <c r="C41" s="9" t="s">
        <v>12</v>
      </c>
      <c r="D41" s="9" t="s">
        <v>13</v>
      </c>
      <c r="E41" s="9">
        <v>30</v>
      </c>
      <c r="F41" s="9">
        <v>17</v>
      </c>
      <c r="G41" s="9">
        <v>2805</v>
      </c>
      <c r="H41" s="9">
        <v>886</v>
      </c>
      <c r="I41" s="9" t="s">
        <v>14</v>
      </c>
      <c r="J41" s="9">
        <v>1919</v>
      </c>
      <c r="K41" s="10">
        <f t="shared" si="0"/>
        <v>112.88235294117646</v>
      </c>
    </row>
    <row r="42" spans="1:11" x14ac:dyDescent="0.25">
      <c r="A42" s="11">
        <v>45332</v>
      </c>
      <c r="B42" s="12" t="s">
        <v>28</v>
      </c>
      <c r="C42" s="12" t="s">
        <v>12</v>
      </c>
      <c r="D42" s="12" t="s">
        <v>13</v>
      </c>
      <c r="E42" s="12">
        <v>109</v>
      </c>
      <c r="F42" s="12">
        <v>74</v>
      </c>
      <c r="G42" s="12">
        <v>34706</v>
      </c>
      <c r="H42" s="12">
        <v>8941</v>
      </c>
      <c r="I42" s="12" t="s">
        <v>23</v>
      </c>
      <c r="J42" s="12">
        <v>25765</v>
      </c>
      <c r="K42" s="13">
        <f t="shared" si="0"/>
        <v>348.17567567567568</v>
      </c>
    </row>
    <row r="43" spans="1:11" x14ac:dyDescent="0.25">
      <c r="A43" s="8">
        <v>45333</v>
      </c>
      <c r="B43" s="9" t="s">
        <v>28</v>
      </c>
      <c r="C43" s="9" t="s">
        <v>25</v>
      </c>
      <c r="D43" s="9" t="s">
        <v>26</v>
      </c>
      <c r="E43" s="9">
        <v>89</v>
      </c>
      <c r="F43" s="9">
        <v>46</v>
      </c>
      <c r="G43" s="9">
        <v>19872</v>
      </c>
      <c r="H43" s="9">
        <v>8471</v>
      </c>
      <c r="I43" s="9" t="s">
        <v>21</v>
      </c>
      <c r="J43" s="9">
        <v>11401</v>
      </c>
      <c r="K43" s="10">
        <f t="shared" si="0"/>
        <v>247.84782608695653</v>
      </c>
    </row>
    <row r="44" spans="1:11" x14ac:dyDescent="0.25">
      <c r="A44" s="11">
        <v>45334</v>
      </c>
      <c r="B44" s="12" t="s">
        <v>28</v>
      </c>
      <c r="C44" s="12" t="s">
        <v>22</v>
      </c>
      <c r="D44" s="12" t="s">
        <v>18</v>
      </c>
      <c r="E44" s="12">
        <v>87</v>
      </c>
      <c r="F44" s="12">
        <v>63</v>
      </c>
      <c r="G44" s="12">
        <v>16128</v>
      </c>
      <c r="H44" s="12">
        <v>5010</v>
      </c>
      <c r="I44" s="12" t="s">
        <v>23</v>
      </c>
      <c r="J44" s="12">
        <v>11118</v>
      </c>
      <c r="K44" s="13">
        <f t="shared" si="0"/>
        <v>176.47619047619048</v>
      </c>
    </row>
    <row r="45" spans="1:11" x14ac:dyDescent="0.25">
      <c r="A45" s="8">
        <v>45335</v>
      </c>
      <c r="B45" s="9" t="s">
        <v>28</v>
      </c>
      <c r="C45" s="9" t="s">
        <v>17</v>
      </c>
      <c r="D45" s="9" t="s">
        <v>18</v>
      </c>
      <c r="E45" s="9">
        <v>78</v>
      </c>
      <c r="F45" s="9">
        <v>19</v>
      </c>
      <c r="G45" s="9">
        <v>5605</v>
      </c>
      <c r="H45" s="9">
        <v>1296</v>
      </c>
      <c r="I45" s="9" t="s">
        <v>16</v>
      </c>
      <c r="J45" s="9">
        <v>4309</v>
      </c>
      <c r="K45" s="10">
        <f t="shared" si="0"/>
        <v>226.78947368421052</v>
      </c>
    </row>
    <row r="46" spans="1:11" x14ac:dyDescent="0.25">
      <c r="A46" s="11">
        <v>45336</v>
      </c>
      <c r="B46" s="12" t="s">
        <v>28</v>
      </c>
      <c r="C46" s="12" t="s">
        <v>22</v>
      </c>
      <c r="D46" s="12" t="s">
        <v>18</v>
      </c>
      <c r="E46" s="12">
        <v>113</v>
      </c>
      <c r="F46" s="12">
        <v>96</v>
      </c>
      <c r="G46" s="12">
        <v>14880</v>
      </c>
      <c r="H46" s="12">
        <v>3781</v>
      </c>
      <c r="I46" s="12" t="s">
        <v>16</v>
      </c>
      <c r="J46" s="12">
        <v>11099</v>
      </c>
      <c r="K46" s="13">
        <f t="shared" si="0"/>
        <v>115.61458333333333</v>
      </c>
    </row>
    <row r="47" spans="1:11" x14ac:dyDescent="0.25">
      <c r="A47" s="8">
        <v>45337</v>
      </c>
      <c r="B47" s="9" t="s">
        <v>28</v>
      </c>
      <c r="C47" s="9" t="s">
        <v>25</v>
      </c>
      <c r="D47" s="9" t="s">
        <v>26</v>
      </c>
      <c r="E47" s="9">
        <v>40</v>
      </c>
      <c r="F47" s="9">
        <v>15</v>
      </c>
      <c r="G47" s="9">
        <v>4920</v>
      </c>
      <c r="H47" s="9">
        <v>1538</v>
      </c>
      <c r="I47" s="9" t="s">
        <v>27</v>
      </c>
      <c r="J47" s="9">
        <v>3382</v>
      </c>
      <c r="K47" s="10">
        <f t="shared" si="0"/>
        <v>225.46666666666667</v>
      </c>
    </row>
    <row r="48" spans="1:11" x14ac:dyDescent="0.25">
      <c r="A48" s="11">
        <v>45338</v>
      </c>
      <c r="B48" s="12" t="s">
        <v>28</v>
      </c>
      <c r="C48" s="12" t="s">
        <v>17</v>
      </c>
      <c r="D48" s="12" t="s">
        <v>18</v>
      </c>
      <c r="E48" s="12">
        <v>109</v>
      </c>
      <c r="F48" s="12">
        <v>87</v>
      </c>
      <c r="G48" s="12">
        <v>36366</v>
      </c>
      <c r="H48" s="12">
        <v>10024</v>
      </c>
      <c r="I48" s="12" t="s">
        <v>16</v>
      </c>
      <c r="J48" s="12">
        <v>26342</v>
      </c>
      <c r="K48" s="13">
        <f t="shared" si="0"/>
        <v>302.78160919540232</v>
      </c>
    </row>
    <row r="49" spans="1:11" x14ac:dyDescent="0.25">
      <c r="A49" s="8">
        <v>45339</v>
      </c>
      <c r="B49" s="9" t="s">
        <v>28</v>
      </c>
      <c r="C49" s="9" t="s">
        <v>22</v>
      </c>
      <c r="D49" s="9" t="s">
        <v>18</v>
      </c>
      <c r="E49" s="9">
        <v>105</v>
      </c>
      <c r="F49" s="9">
        <v>20</v>
      </c>
      <c r="G49" s="9">
        <v>5240</v>
      </c>
      <c r="H49" s="9">
        <v>2394</v>
      </c>
      <c r="I49" s="9" t="s">
        <v>14</v>
      </c>
      <c r="J49" s="9">
        <v>2846</v>
      </c>
      <c r="K49" s="10">
        <f t="shared" si="0"/>
        <v>142.30000000000001</v>
      </c>
    </row>
    <row r="50" spans="1:11" x14ac:dyDescent="0.25">
      <c r="A50" s="11">
        <v>45340</v>
      </c>
      <c r="B50" s="12" t="s">
        <v>28</v>
      </c>
      <c r="C50" s="12" t="s">
        <v>17</v>
      </c>
      <c r="D50" s="12" t="s">
        <v>18</v>
      </c>
      <c r="E50" s="12">
        <v>21</v>
      </c>
      <c r="F50" s="12">
        <v>20</v>
      </c>
      <c r="G50" s="12">
        <v>6700</v>
      </c>
      <c r="H50" s="12">
        <v>2811</v>
      </c>
      <c r="I50" s="12" t="s">
        <v>14</v>
      </c>
      <c r="J50" s="12">
        <v>3889</v>
      </c>
      <c r="K50" s="13">
        <f t="shared" si="0"/>
        <v>194.45</v>
      </c>
    </row>
    <row r="51" spans="1:11" x14ac:dyDescent="0.25">
      <c r="A51" s="8">
        <v>45341</v>
      </c>
      <c r="B51" s="9" t="s">
        <v>28</v>
      </c>
      <c r="C51" s="9" t="s">
        <v>22</v>
      </c>
      <c r="D51" s="9" t="s">
        <v>18</v>
      </c>
      <c r="E51" s="9">
        <v>110</v>
      </c>
      <c r="F51" s="9">
        <v>95</v>
      </c>
      <c r="G51" s="9">
        <v>36575</v>
      </c>
      <c r="H51" s="9">
        <v>13394</v>
      </c>
      <c r="I51" s="9" t="s">
        <v>21</v>
      </c>
      <c r="J51" s="9">
        <v>23181</v>
      </c>
      <c r="K51" s="10">
        <f t="shared" si="0"/>
        <v>244.01052631578946</v>
      </c>
    </row>
    <row r="52" spans="1:11" x14ac:dyDescent="0.25">
      <c r="A52" s="11">
        <v>45342</v>
      </c>
      <c r="B52" s="12" t="s">
        <v>28</v>
      </c>
      <c r="C52" s="12" t="s">
        <v>19</v>
      </c>
      <c r="D52" s="12" t="s">
        <v>20</v>
      </c>
      <c r="E52" s="12">
        <v>29</v>
      </c>
      <c r="F52" s="12">
        <v>27</v>
      </c>
      <c r="G52" s="12">
        <v>6642</v>
      </c>
      <c r="H52" s="12">
        <v>2331</v>
      </c>
      <c r="I52" s="12" t="s">
        <v>16</v>
      </c>
      <c r="J52" s="12">
        <v>4311</v>
      </c>
      <c r="K52" s="13">
        <f t="shared" si="0"/>
        <v>159.66666666666666</v>
      </c>
    </row>
    <row r="53" spans="1:11" x14ac:dyDescent="0.25">
      <c r="A53" s="8">
        <v>45343</v>
      </c>
      <c r="B53" s="9" t="s">
        <v>28</v>
      </c>
      <c r="C53" s="9" t="s">
        <v>24</v>
      </c>
      <c r="D53" s="9" t="s">
        <v>18</v>
      </c>
      <c r="E53" s="9">
        <v>71</v>
      </c>
      <c r="F53" s="9">
        <v>28</v>
      </c>
      <c r="G53" s="9">
        <v>4928</v>
      </c>
      <c r="H53" s="9">
        <v>1141</v>
      </c>
      <c r="I53" s="9" t="s">
        <v>27</v>
      </c>
      <c r="J53" s="9">
        <v>3787</v>
      </c>
      <c r="K53" s="10">
        <f t="shared" si="0"/>
        <v>135.25</v>
      </c>
    </row>
    <row r="54" spans="1:11" x14ac:dyDescent="0.25">
      <c r="A54" s="11">
        <v>45344</v>
      </c>
      <c r="B54" s="12" t="s">
        <v>28</v>
      </c>
      <c r="C54" s="12" t="s">
        <v>24</v>
      </c>
      <c r="D54" s="12" t="s">
        <v>18</v>
      </c>
      <c r="E54" s="12">
        <v>74</v>
      </c>
      <c r="F54" s="12">
        <v>59</v>
      </c>
      <c r="G54" s="12">
        <v>7198</v>
      </c>
      <c r="H54" s="12">
        <v>2754</v>
      </c>
      <c r="I54" s="12" t="s">
        <v>16</v>
      </c>
      <c r="J54" s="12">
        <v>4444</v>
      </c>
      <c r="K54" s="13">
        <f t="shared" si="0"/>
        <v>75.322033898305079</v>
      </c>
    </row>
    <row r="55" spans="1:11" x14ac:dyDescent="0.25">
      <c r="A55" s="8">
        <v>45345</v>
      </c>
      <c r="B55" s="9" t="s">
        <v>28</v>
      </c>
      <c r="C55" s="9" t="s">
        <v>22</v>
      </c>
      <c r="D55" s="9" t="s">
        <v>18</v>
      </c>
      <c r="E55" s="9">
        <v>60</v>
      </c>
      <c r="F55" s="9">
        <v>43</v>
      </c>
      <c r="G55" s="9">
        <v>5160</v>
      </c>
      <c r="H55" s="9">
        <v>1782</v>
      </c>
      <c r="I55" s="9" t="s">
        <v>27</v>
      </c>
      <c r="J55" s="9">
        <v>3378</v>
      </c>
      <c r="K55" s="10">
        <f t="shared" si="0"/>
        <v>78.558139534883722</v>
      </c>
    </row>
    <row r="56" spans="1:11" x14ac:dyDescent="0.25">
      <c r="A56" s="11">
        <v>45346</v>
      </c>
      <c r="B56" s="12" t="s">
        <v>28</v>
      </c>
      <c r="C56" s="12" t="s">
        <v>15</v>
      </c>
      <c r="D56" s="12" t="s">
        <v>13</v>
      </c>
      <c r="E56" s="12">
        <v>96</v>
      </c>
      <c r="F56" s="12">
        <v>22</v>
      </c>
      <c r="G56" s="12">
        <v>3498</v>
      </c>
      <c r="H56" s="12">
        <v>814</v>
      </c>
      <c r="I56" s="12" t="s">
        <v>23</v>
      </c>
      <c r="J56" s="12">
        <v>2684</v>
      </c>
      <c r="K56" s="13">
        <f t="shared" si="0"/>
        <v>122</v>
      </c>
    </row>
    <row r="57" spans="1:11" x14ac:dyDescent="0.25">
      <c r="A57" s="8">
        <v>45347</v>
      </c>
      <c r="B57" s="9" t="s">
        <v>28</v>
      </c>
      <c r="C57" s="9" t="s">
        <v>12</v>
      </c>
      <c r="D57" s="9" t="s">
        <v>13</v>
      </c>
      <c r="E57" s="9">
        <v>23</v>
      </c>
      <c r="F57" s="9">
        <v>16</v>
      </c>
      <c r="G57" s="9">
        <v>5456</v>
      </c>
      <c r="H57" s="9">
        <v>2534</v>
      </c>
      <c r="I57" s="9" t="s">
        <v>23</v>
      </c>
      <c r="J57" s="9">
        <v>2922</v>
      </c>
      <c r="K57" s="10">
        <f t="shared" si="0"/>
        <v>182.625</v>
      </c>
    </row>
    <row r="58" spans="1:11" x14ac:dyDescent="0.25">
      <c r="A58" s="11">
        <v>45348</v>
      </c>
      <c r="B58" s="12" t="s">
        <v>28</v>
      </c>
      <c r="C58" s="12" t="s">
        <v>25</v>
      </c>
      <c r="D58" s="12" t="s">
        <v>26</v>
      </c>
      <c r="E58" s="12">
        <v>73</v>
      </c>
      <c r="F58" s="12">
        <v>26</v>
      </c>
      <c r="G58" s="12">
        <v>7176</v>
      </c>
      <c r="H58" s="12">
        <v>2422</v>
      </c>
      <c r="I58" s="12" t="s">
        <v>16</v>
      </c>
      <c r="J58" s="12">
        <v>4754</v>
      </c>
      <c r="K58" s="13">
        <f t="shared" si="0"/>
        <v>182.84615384615384</v>
      </c>
    </row>
    <row r="59" spans="1:11" x14ac:dyDescent="0.25">
      <c r="A59" s="8">
        <v>45349</v>
      </c>
      <c r="B59" s="9" t="s">
        <v>28</v>
      </c>
      <c r="C59" s="9" t="s">
        <v>19</v>
      </c>
      <c r="D59" s="9" t="s">
        <v>20</v>
      </c>
      <c r="E59" s="9">
        <v>50</v>
      </c>
      <c r="F59" s="9">
        <v>34</v>
      </c>
      <c r="G59" s="9">
        <v>6018</v>
      </c>
      <c r="H59" s="9">
        <v>2177</v>
      </c>
      <c r="I59" s="9" t="s">
        <v>23</v>
      </c>
      <c r="J59" s="9">
        <v>3841</v>
      </c>
      <c r="K59" s="10">
        <f t="shared" si="0"/>
        <v>112.97058823529412</v>
      </c>
    </row>
    <row r="60" spans="1:11" x14ac:dyDescent="0.25">
      <c r="A60" s="11">
        <v>45350</v>
      </c>
      <c r="B60" s="12" t="s">
        <v>28</v>
      </c>
      <c r="C60" s="12" t="s">
        <v>19</v>
      </c>
      <c r="D60" s="12" t="s">
        <v>20</v>
      </c>
      <c r="E60" s="12">
        <v>51</v>
      </c>
      <c r="F60" s="12">
        <v>32</v>
      </c>
      <c r="G60" s="12">
        <v>8224</v>
      </c>
      <c r="H60" s="12">
        <v>2357</v>
      </c>
      <c r="I60" s="12" t="s">
        <v>16</v>
      </c>
      <c r="J60" s="12">
        <v>5867</v>
      </c>
      <c r="K60" s="13">
        <f t="shared" si="0"/>
        <v>183.34375</v>
      </c>
    </row>
    <row r="61" spans="1:11" x14ac:dyDescent="0.25">
      <c r="A61" s="8">
        <v>45351</v>
      </c>
      <c r="B61" s="9" t="s">
        <v>28</v>
      </c>
      <c r="C61" s="9" t="s">
        <v>15</v>
      </c>
      <c r="D61" s="9" t="s">
        <v>13</v>
      </c>
      <c r="E61" s="9">
        <v>27</v>
      </c>
      <c r="F61" s="9">
        <v>16</v>
      </c>
      <c r="G61" s="9">
        <v>2592</v>
      </c>
      <c r="H61" s="9">
        <v>867</v>
      </c>
      <c r="I61" s="9" t="s">
        <v>14</v>
      </c>
      <c r="J61" s="9">
        <v>1725</v>
      </c>
      <c r="K61" s="10">
        <f t="shared" si="0"/>
        <v>107.8125</v>
      </c>
    </row>
    <row r="62" spans="1:11" x14ac:dyDescent="0.25">
      <c r="A62" s="11">
        <v>45352</v>
      </c>
      <c r="B62" s="12" t="s">
        <v>29</v>
      </c>
      <c r="C62" s="12" t="s">
        <v>15</v>
      </c>
      <c r="D62" s="12" t="s">
        <v>13</v>
      </c>
      <c r="E62" s="12">
        <v>120</v>
      </c>
      <c r="F62" s="12">
        <v>52</v>
      </c>
      <c r="G62" s="12">
        <v>9932</v>
      </c>
      <c r="H62" s="12">
        <v>4256</v>
      </c>
      <c r="I62" s="12" t="s">
        <v>16</v>
      </c>
      <c r="J62" s="12">
        <v>5676</v>
      </c>
      <c r="K62" s="13">
        <f t="shared" si="0"/>
        <v>109.15384615384616</v>
      </c>
    </row>
    <row r="63" spans="1:11" x14ac:dyDescent="0.25">
      <c r="A63" s="8">
        <v>45353</v>
      </c>
      <c r="B63" s="9" t="s">
        <v>29</v>
      </c>
      <c r="C63" s="9" t="s">
        <v>24</v>
      </c>
      <c r="D63" s="9" t="s">
        <v>18</v>
      </c>
      <c r="E63" s="9">
        <v>99</v>
      </c>
      <c r="F63" s="9">
        <v>61</v>
      </c>
      <c r="G63" s="9">
        <v>10919</v>
      </c>
      <c r="H63" s="9">
        <v>5428</v>
      </c>
      <c r="I63" s="9" t="s">
        <v>23</v>
      </c>
      <c r="J63" s="9">
        <v>5491</v>
      </c>
      <c r="K63" s="10">
        <f t="shared" si="0"/>
        <v>90.016393442622956</v>
      </c>
    </row>
    <row r="64" spans="1:11" x14ac:dyDescent="0.25">
      <c r="A64" s="11">
        <v>45354</v>
      </c>
      <c r="B64" s="12" t="s">
        <v>29</v>
      </c>
      <c r="C64" s="12" t="s">
        <v>12</v>
      </c>
      <c r="D64" s="12" t="s">
        <v>13</v>
      </c>
      <c r="E64" s="12">
        <v>113</v>
      </c>
      <c r="F64" s="12">
        <v>70</v>
      </c>
      <c r="G64" s="12">
        <v>28700</v>
      </c>
      <c r="H64" s="12">
        <v>12084</v>
      </c>
      <c r="I64" s="12" t="s">
        <v>21</v>
      </c>
      <c r="J64" s="12">
        <v>16616</v>
      </c>
      <c r="K64" s="13">
        <f t="shared" si="0"/>
        <v>237.37142857142857</v>
      </c>
    </row>
    <row r="65" spans="1:11" x14ac:dyDescent="0.25">
      <c r="A65" s="8">
        <v>45355</v>
      </c>
      <c r="B65" s="9" t="s">
        <v>29</v>
      </c>
      <c r="C65" s="9" t="s">
        <v>25</v>
      </c>
      <c r="D65" s="9" t="s">
        <v>26</v>
      </c>
      <c r="E65" s="9">
        <v>59</v>
      </c>
      <c r="F65" s="9">
        <v>26</v>
      </c>
      <c r="G65" s="9">
        <v>7202</v>
      </c>
      <c r="H65" s="9">
        <v>3567</v>
      </c>
      <c r="I65" s="9" t="s">
        <v>14</v>
      </c>
      <c r="J65" s="9">
        <v>3635</v>
      </c>
      <c r="K65" s="10">
        <f t="shared" si="0"/>
        <v>139.80769230769232</v>
      </c>
    </row>
    <row r="66" spans="1:11" x14ac:dyDescent="0.25">
      <c r="A66" s="11">
        <v>45356</v>
      </c>
      <c r="B66" s="12" t="s">
        <v>29</v>
      </c>
      <c r="C66" s="12" t="s">
        <v>25</v>
      </c>
      <c r="D66" s="12" t="s">
        <v>26</v>
      </c>
      <c r="E66" s="12">
        <v>48</v>
      </c>
      <c r="F66" s="12">
        <v>46</v>
      </c>
      <c r="G66" s="12">
        <v>10304</v>
      </c>
      <c r="H66" s="12">
        <v>2685</v>
      </c>
      <c r="I66" s="12" t="s">
        <v>27</v>
      </c>
      <c r="J66" s="12">
        <v>7619</v>
      </c>
      <c r="K66" s="13">
        <f t="shared" ref="K66:K129" si="1">IF(F66=0,0,J66/F66)</f>
        <v>165.63043478260869</v>
      </c>
    </row>
    <row r="67" spans="1:11" x14ac:dyDescent="0.25">
      <c r="A67" s="8">
        <v>45357</v>
      </c>
      <c r="B67" s="9" t="s">
        <v>29</v>
      </c>
      <c r="C67" s="9" t="s">
        <v>17</v>
      </c>
      <c r="D67" s="9" t="s">
        <v>18</v>
      </c>
      <c r="E67" s="9">
        <v>52</v>
      </c>
      <c r="F67" s="9">
        <v>35</v>
      </c>
      <c r="G67" s="9">
        <v>11410</v>
      </c>
      <c r="H67" s="9">
        <v>5511</v>
      </c>
      <c r="I67" s="9" t="s">
        <v>21</v>
      </c>
      <c r="J67" s="9">
        <v>5899</v>
      </c>
      <c r="K67" s="10">
        <f t="shared" si="1"/>
        <v>168.54285714285714</v>
      </c>
    </row>
    <row r="68" spans="1:11" x14ac:dyDescent="0.25">
      <c r="A68" s="11">
        <v>45358</v>
      </c>
      <c r="B68" s="12" t="s">
        <v>29</v>
      </c>
      <c r="C68" s="12" t="s">
        <v>19</v>
      </c>
      <c r="D68" s="12" t="s">
        <v>20</v>
      </c>
      <c r="E68" s="12">
        <v>23</v>
      </c>
      <c r="F68" s="12">
        <v>12</v>
      </c>
      <c r="G68" s="12">
        <v>4464</v>
      </c>
      <c r="H68" s="12">
        <v>1483</v>
      </c>
      <c r="I68" s="12" t="s">
        <v>16</v>
      </c>
      <c r="J68" s="12">
        <v>2981</v>
      </c>
      <c r="K68" s="13">
        <f t="shared" si="1"/>
        <v>248.41666666666666</v>
      </c>
    </row>
    <row r="69" spans="1:11" x14ac:dyDescent="0.25">
      <c r="A69" s="8">
        <v>45359</v>
      </c>
      <c r="B69" s="9" t="s">
        <v>29</v>
      </c>
      <c r="C69" s="9" t="s">
        <v>12</v>
      </c>
      <c r="D69" s="9" t="s">
        <v>13</v>
      </c>
      <c r="E69" s="9">
        <v>73</v>
      </c>
      <c r="F69" s="9">
        <v>36</v>
      </c>
      <c r="G69" s="9">
        <v>14868</v>
      </c>
      <c r="H69" s="9">
        <v>5674</v>
      </c>
      <c r="I69" s="9" t="s">
        <v>16</v>
      </c>
      <c r="J69" s="9">
        <v>9194</v>
      </c>
      <c r="K69" s="10">
        <f t="shared" si="1"/>
        <v>255.38888888888889</v>
      </c>
    </row>
    <row r="70" spans="1:11" x14ac:dyDescent="0.25">
      <c r="A70" s="11">
        <v>45360</v>
      </c>
      <c r="B70" s="12" t="s">
        <v>29</v>
      </c>
      <c r="C70" s="12" t="s">
        <v>17</v>
      </c>
      <c r="D70" s="12" t="s">
        <v>18</v>
      </c>
      <c r="E70" s="12">
        <v>38</v>
      </c>
      <c r="F70" s="12">
        <v>17</v>
      </c>
      <c r="G70" s="12">
        <v>3757</v>
      </c>
      <c r="H70" s="12">
        <v>1442</v>
      </c>
      <c r="I70" s="12" t="s">
        <v>27</v>
      </c>
      <c r="J70" s="12">
        <v>2315</v>
      </c>
      <c r="K70" s="13">
        <f t="shared" si="1"/>
        <v>136.1764705882353</v>
      </c>
    </row>
    <row r="71" spans="1:11" x14ac:dyDescent="0.25">
      <c r="A71" s="8">
        <v>45361</v>
      </c>
      <c r="B71" s="9" t="s">
        <v>29</v>
      </c>
      <c r="C71" s="9" t="s">
        <v>24</v>
      </c>
      <c r="D71" s="9" t="s">
        <v>18</v>
      </c>
      <c r="E71" s="9">
        <v>44</v>
      </c>
      <c r="F71" s="9">
        <v>33</v>
      </c>
      <c r="G71" s="9">
        <v>10758</v>
      </c>
      <c r="H71" s="9">
        <v>2211</v>
      </c>
      <c r="I71" s="9" t="s">
        <v>23</v>
      </c>
      <c r="J71" s="9">
        <v>8547</v>
      </c>
      <c r="K71" s="10">
        <f t="shared" si="1"/>
        <v>259</v>
      </c>
    </row>
    <row r="72" spans="1:11" x14ac:dyDescent="0.25">
      <c r="A72" s="11">
        <v>45362</v>
      </c>
      <c r="B72" s="12" t="s">
        <v>29</v>
      </c>
      <c r="C72" s="12" t="s">
        <v>24</v>
      </c>
      <c r="D72" s="12" t="s">
        <v>18</v>
      </c>
      <c r="E72" s="12">
        <v>39</v>
      </c>
      <c r="F72" s="12">
        <v>33</v>
      </c>
      <c r="G72" s="12">
        <v>8679</v>
      </c>
      <c r="H72" s="12">
        <v>3173</v>
      </c>
      <c r="I72" s="12" t="s">
        <v>27</v>
      </c>
      <c r="J72" s="12">
        <v>5506</v>
      </c>
      <c r="K72" s="13">
        <f t="shared" si="1"/>
        <v>166.84848484848484</v>
      </c>
    </row>
    <row r="73" spans="1:11" x14ac:dyDescent="0.25">
      <c r="A73" s="8">
        <v>45363</v>
      </c>
      <c r="B73" s="9" t="s">
        <v>29</v>
      </c>
      <c r="C73" s="9" t="s">
        <v>22</v>
      </c>
      <c r="D73" s="9" t="s">
        <v>18</v>
      </c>
      <c r="E73" s="9">
        <v>100</v>
      </c>
      <c r="F73" s="9">
        <v>20</v>
      </c>
      <c r="G73" s="9">
        <v>3220</v>
      </c>
      <c r="H73" s="9">
        <v>1184</v>
      </c>
      <c r="I73" s="9" t="s">
        <v>16</v>
      </c>
      <c r="J73" s="9">
        <v>2036</v>
      </c>
      <c r="K73" s="10">
        <f t="shared" si="1"/>
        <v>101.8</v>
      </c>
    </row>
    <row r="74" spans="1:11" x14ac:dyDescent="0.25">
      <c r="A74" s="11">
        <v>45364</v>
      </c>
      <c r="B74" s="12" t="s">
        <v>29</v>
      </c>
      <c r="C74" s="12" t="s">
        <v>25</v>
      </c>
      <c r="D74" s="12" t="s">
        <v>26</v>
      </c>
      <c r="E74" s="12">
        <v>98</v>
      </c>
      <c r="F74" s="12">
        <v>73</v>
      </c>
      <c r="G74" s="12">
        <v>10877</v>
      </c>
      <c r="H74" s="12">
        <v>4488</v>
      </c>
      <c r="I74" s="12" t="s">
        <v>23</v>
      </c>
      <c r="J74" s="12">
        <v>6389</v>
      </c>
      <c r="K74" s="13">
        <f t="shared" si="1"/>
        <v>87.520547945205479</v>
      </c>
    </row>
    <row r="75" spans="1:11" x14ac:dyDescent="0.25">
      <c r="A75" s="8">
        <v>45365</v>
      </c>
      <c r="B75" s="9" t="s">
        <v>29</v>
      </c>
      <c r="C75" s="9" t="s">
        <v>12</v>
      </c>
      <c r="D75" s="9" t="s">
        <v>13</v>
      </c>
      <c r="E75" s="9">
        <v>47</v>
      </c>
      <c r="F75" s="9">
        <v>17</v>
      </c>
      <c r="G75" s="9">
        <v>8126</v>
      </c>
      <c r="H75" s="9">
        <v>3741</v>
      </c>
      <c r="I75" s="9" t="s">
        <v>21</v>
      </c>
      <c r="J75" s="9">
        <v>4385</v>
      </c>
      <c r="K75" s="10">
        <f t="shared" si="1"/>
        <v>257.94117647058823</v>
      </c>
    </row>
    <row r="76" spans="1:11" x14ac:dyDescent="0.25">
      <c r="A76" s="11">
        <v>45366</v>
      </c>
      <c r="B76" s="12" t="s">
        <v>29</v>
      </c>
      <c r="C76" s="12" t="s">
        <v>12</v>
      </c>
      <c r="D76" s="12" t="s">
        <v>13</v>
      </c>
      <c r="E76" s="12">
        <v>48</v>
      </c>
      <c r="F76" s="12">
        <v>45</v>
      </c>
      <c r="G76" s="12">
        <v>13905</v>
      </c>
      <c r="H76" s="12">
        <v>4439</v>
      </c>
      <c r="I76" s="12" t="s">
        <v>23</v>
      </c>
      <c r="J76" s="12">
        <v>9466</v>
      </c>
      <c r="K76" s="13">
        <f t="shared" si="1"/>
        <v>210.35555555555555</v>
      </c>
    </row>
    <row r="77" spans="1:11" x14ac:dyDescent="0.25">
      <c r="A77" s="8">
        <v>45367</v>
      </c>
      <c r="B77" s="9" t="s">
        <v>29</v>
      </c>
      <c r="C77" s="9" t="s">
        <v>15</v>
      </c>
      <c r="D77" s="9" t="s">
        <v>13</v>
      </c>
      <c r="E77" s="9">
        <v>81</v>
      </c>
      <c r="F77" s="9">
        <v>57</v>
      </c>
      <c r="G77" s="9">
        <v>12255</v>
      </c>
      <c r="H77" s="9">
        <v>4211</v>
      </c>
      <c r="I77" s="9" t="s">
        <v>27</v>
      </c>
      <c r="J77" s="9">
        <v>8044</v>
      </c>
      <c r="K77" s="10">
        <f t="shared" si="1"/>
        <v>141.12280701754386</v>
      </c>
    </row>
    <row r="78" spans="1:11" x14ac:dyDescent="0.25">
      <c r="A78" s="11">
        <v>45368</v>
      </c>
      <c r="B78" s="12" t="s">
        <v>29</v>
      </c>
      <c r="C78" s="12" t="s">
        <v>25</v>
      </c>
      <c r="D78" s="12" t="s">
        <v>26</v>
      </c>
      <c r="E78" s="12">
        <v>88</v>
      </c>
      <c r="F78" s="12">
        <v>79</v>
      </c>
      <c r="G78" s="12">
        <v>35866</v>
      </c>
      <c r="H78" s="12">
        <v>13176</v>
      </c>
      <c r="I78" s="12" t="s">
        <v>14</v>
      </c>
      <c r="J78" s="12">
        <v>22690</v>
      </c>
      <c r="K78" s="13">
        <f t="shared" si="1"/>
        <v>287.21518987341773</v>
      </c>
    </row>
    <row r="79" spans="1:11" x14ac:dyDescent="0.25">
      <c r="A79" s="8">
        <v>45369</v>
      </c>
      <c r="B79" s="9" t="s">
        <v>29</v>
      </c>
      <c r="C79" s="9" t="s">
        <v>24</v>
      </c>
      <c r="D79" s="9" t="s">
        <v>18</v>
      </c>
      <c r="E79" s="9">
        <v>53</v>
      </c>
      <c r="F79" s="9">
        <v>41</v>
      </c>
      <c r="G79" s="9">
        <v>15908</v>
      </c>
      <c r="H79" s="9">
        <v>7831</v>
      </c>
      <c r="I79" s="9" t="s">
        <v>27</v>
      </c>
      <c r="J79" s="9">
        <v>8077</v>
      </c>
      <c r="K79" s="10">
        <f t="shared" si="1"/>
        <v>197</v>
      </c>
    </row>
    <row r="80" spans="1:11" x14ac:dyDescent="0.25">
      <c r="A80" s="11">
        <v>45370</v>
      </c>
      <c r="B80" s="12" t="s">
        <v>29</v>
      </c>
      <c r="C80" s="12" t="s">
        <v>24</v>
      </c>
      <c r="D80" s="12" t="s">
        <v>18</v>
      </c>
      <c r="E80" s="12">
        <v>51</v>
      </c>
      <c r="F80" s="12">
        <v>37</v>
      </c>
      <c r="G80" s="12">
        <v>12247</v>
      </c>
      <c r="H80" s="12">
        <v>4847</v>
      </c>
      <c r="I80" s="12" t="s">
        <v>16</v>
      </c>
      <c r="J80" s="12">
        <v>7400</v>
      </c>
      <c r="K80" s="13">
        <f t="shared" si="1"/>
        <v>200</v>
      </c>
    </row>
    <row r="81" spans="1:11" x14ac:dyDescent="0.25">
      <c r="A81" s="8">
        <v>45371</v>
      </c>
      <c r="B81" s="9" t="s">
        <v>29</v>
      </c>
      <c r="C81" s="9" t="s">
        <v>24</v>
      </c>
      <c r="D81" s="9" t="s">
        <v>18</v>
      </c>
      <c r="E81" s="9">
        <v>97</v>
      </c>
      <c r="F81" s="9">
        <v>32</v>
      </c>
      <c r="G81" s="9">
        <v>6752</v>
      </c>
      <c r="H81" s="9">
        <v>3057</v>
      </c>
      <c r="I81" s="9" t="s">
        <v>16</v>
      </c>
      <c r="J81" s="9">
        <v>3695</v>
      </c>
      <c r="K81" s="10">
        <f t="shared" si="1"/>
        <v>115.46875</v>
      </c>
    </row>
    <row r="82" spans="1:11" x14ac:dyDescent="0.25">
      <c r="A82" s="11">
        <v>45372</v>
      </c>
      <c r="B82" s="12" t="s">
        <v>29</v>
      </c>
      <c r="C82" s="12" t="s">
        <v>15</v>
      </c>
      <c r="D82" s="12" t="s">
        <v>13</v>
      </c>
      <c r="E82" s="12">
        <v>41</v>
      </c>
      <c r="F82" s="12">
        <v>29</v>
      </c>
      <c r="G82" s="12">
        <v>8932</v>
      </c>
      <c r="H82" s="12">
        <v>2381</v>
      </c>
      <c r="I82" s="12" t="s">
        <v>23</v>
      </c>
      <c r="J82" s="12">
        <v>6551</v>
      </c>
      <c r="K82" s="13">
        <f t="shared" si="1"/>
        <v>225.89655172413794</v>
      </c>
    </row>
    <row r="83" spans="1:11" x14ac:dyDescent="0.25">
      <c r="A83" s="8">
        <v>45373</v>
      </c>
      <c r="B83" s="9" t="s">
        <v>29</v>
      </c>
      <c r="C83" s="9" t="s">
        <v>22</v>
      </c>
      <c r="D83" s="9" t="s">
        <v>18</v>
      </c>
      <c r="E83" s="9">
        <v>20</v>
      </c>
      <c r="F83" s="9">
        <v>18</v>
      </c>
      <c r="G83" s="9">
        <v>5364</v>
      </c>
      <c r="H83" s="9">
        <v>1665</v>
      </c>
      <c r="I83" s="9" t="s">
        <v>23</v>
      </c>
      <c r="J83" s="9">
        <v>3699</v>
      </c>
      <c r="K83" s="10">
        <f t="shared" si="1"/>
        <v>205.5</v>
      </c>
    </row>
    <row r="84" spans="1:11" x14ac:dyDescent="0.25">
      <c r="A84" s="11">
        <v>45374</v>
      </c>
      <c r="B84" s="12" t="s">
        <v>29</v>
      </c>
      <c r="C84" s="12" t="s">
        <v>25</v>
      </c>
      <c r="D84" s="12" t="s">
        <v>26</v>
      </c>
      <c r="E84" s="12">
        <v>99</v>
      </c>
      <c r="F84" s="12">
        <v>37</v>
      </c>
      <c r="G84" s="12">
        <v>6586</v>
      </c>
      <c r="H84" s="12">
        <v>2335</v>
      </c>
      <c r="I84" s="12" t="s">
        <v>16</v>
      </c>
      <c r="J84" s="12">
        <v>4251</v>
      </c>
      <c r="K84" s="13">
        <f t="shared" si="1"/>
        <v>114.89189189189189</v>
      </c>
    </row>
    <row r="85" spans="1:11" x14ac:dyDescent="0.25">
      <c r="A85" s="8">
        <v>45375</v>
      </c>
      <c r="B85" s="9" t="s">
        <v>29</v>
      </c>
      <c r="C85" s="9" t="s">
        <v>19</v>
      </c>
      <c r="D85" s="9" t="s">
        <v>20</v>
      </c>
      <c r="E85" s="9">
        <v>37</v>
      </c>
      <c r="F85" s="9">
        <v>34</v>
      </c>
      <c r="G85" s="9">
        <v>12988</v>
      </c>
      <c r="H85" s="9">
        <v>2874</v>
      </c>
      <c r="I85" s="9" t="s">
        <v>14</v>
      </c>
      <c r="J85" s="9">
        <v>10114</v>
      </c>
      <c r="K85" s="10">
        <f t="shared" si="1"/>
        <v>297.47058823529414</v>
      </c>
    </row>
    <row r="86" spans="1:11" x14ac:dyDescent="0.25">
      <c r="A86" s="11">
        <v>45376</v>
      </c>
      <c r="B86" s="12" t="s">
        <v>29</v>
      </c>
      <c r="C86" s="12" t="s">
        <v>15</v>
      </c>
      <c r="D86" s="12" t="s">
        <v>13</v>
      </c>
      <c r="E86" s="12">
        <v>67</v>
      </c>
      <c r="F86" s="12">
        <v>39</v>
      </c>
      <c r="G86" s="12">
        <v>19422</v>
      </c>
      <c r="H86" s="12">
        <v>4239</v>
      </c>
      <c r="I86" s="12" t="s">
        <v>27</v>
      </c>
      <c r="J86" s="12">
        <v>15183</v>
      </c>
      <c r="K86" s="13">
        <f t="shared" si="1"/>
        <v>389.30769230769232</v>
      </c>
    </row>
    <row r="87" spans="1:11" x14ac:dyDescent="0.25">
      <c r="A87" s="8">
        <v>45377</v>
      </c>
      <c r="B87" s="9" t="s">
        <v>29</v>
      </c>
      <c r="C87" s="9" t="s">
        <v>12</v>
      </c>
      <c r="D87" s="9" t="s">
        <v>13</v>
      </c>
      <c r="E87" s="9">
        <v>42</v>
      </c>
      <c r="F87" s="9">
        <v>21</v>
      </c>
      <c r="G87" s="9">
        <v>7119</v>
      </c>
      <c r="H87" s="9">
        <v>1656</v>
      </c>
      <c r="I87" s="9" t="s">
        <v>16</v>
      </c>
      <c r="J87" s="9">
        <v>5463</v>
      </c>
      <c r="K87" s="10">
        <f t="shared" si="1"/>
        <v>260.14285714285717</v>
      </c>
    </row>
    <row r="88" spans="1:11" x14ac:dyDescent="0.25">
      <c r="A88" s="11">
        <v>45378</v>
      </c>
      <c r="B88" s="12" t="s">
        <v>29</v>
      </c>
      <c r="C88" s="12" t="s">
        <v>19</v>
      </c>
      <c r="D88" s="12" t="s">
        <v>20</v>
      </c>
      <c r="E88" s="12">
        <v>43</v>
      </c>
      <c r="F88" s="12">
        <v>42</v>
      </c>
      <c r="G88" s="12">
        <v>20538</v>
      </c>
      <c r="H88" s="12">
        <v>8862</v>
      </c>
      <c r="I88" s="12" t="s">
        <v>21</v>
      </c>
      <c r="J88" s="12">
        <v>11676</v>
      </c>
      <c r="K88" s="13">
        <f t="shared" si="1"/>
        <v>278</v>
      </c>
    </row>
    <row r="89" spans="1:11" x14ac:dyDescent="0.25">
      <c r="A89" s="8">
        <v>45379</v>
      </c>
      <c r="B89" s="9" t="s">
        <v>29</v>
      </c>
      <c r="C89" s="9" t="s">
        <v>19</v>
      </c>
      <c r="D89" s="9" t="s">
        <v>20</v>
      </c>
      <c r="E89" s="9">
        <v>47</v>
      </c>
      <c r="F89" s="9">
        <v>31</v>
      </c>
      <c r="G89" s="9">
        <v>13392</v>
      </c>
      <c r="H89" s="9">
        <v>3077</v>
      </c>
      <c r="I89" s="9" t="s">
        <v>14</v>
      </c>
      <c r="J89" s="9">
        <v>10315</v>
      </c>
      <c r="K89" s="10">
        <f t="shared" si="1"/>
        <v>332.74193548387098</v>
      </c>
    </row>
    <row r="90" spans="1:11" x14ac:dyDescent="0.25">
      <c r="A90" s="11">
        <v>45380</v>
      </c>
      <c r="B90" s="12" t="s">
        <v>29</v>
      </c>
      <c r="C90" s="12" t="s">
        <v>24</v>
      </c>
      <c r="D90" s="12" t="s">
        <v>18</v>
      </c>
      <c r="E90" s="12">
        <v>113</v>
      </c>
      <c r="F90" s="12">
        <v>15</v>
      </c>
      <c r="G90" s="12">
        <v>4185</v>
      </c>
      <c r="H90" s="12">
        <v>1364</v>
      </c>
      <c r="I90" s="12" t="s">
        <v>27</v>
      </c>
      <c r="J90" s="12">
        <v>2821</v>
      </c>
      <c r="K90" s="13">
        <f t="shared" si="1"/>
        <v>188.06666666666666</v>
      </c>
    </row>
    <row r="91" spans="1:11" x14ac:dyDescent="0.25">
      <c r="A91" s="8">
        <v>45381</v>
      </c>
      <c r="B91" s="9" t="s">
        <v>29</v>
      </c>
      <c r="C91" s="9" t="s">
        <v>15</v>
      </c>
      <c r="D91" s="9" t="s">
        <v>13</v>
      </c>
      <c r="E91" s="9">
        <v>115</v>
      </c>
      <c r="F91" s="9">
        <v>14</v>
      </c>
      <c r="G91" s="9">
        <v>4732</v>
      </c>
      <c r="H91" s="9">
        <v>1109</v>
      </c>
      <c r="I91" s="9" t="s">
        <v>23</v>
      </c>
      <c r="J91" s="9">
        <v>3623</v>
      </c>
      <c r="K91" s="10">
        <f t="shared" si="1"/>
        <v>258.78571428571428</v>
      </c>
    </row>
    <row r="92" spans="1:11" x14ac:dyDescent="0.25">
      <c r="A92" s="11">
        <v>45382</v>
      </c>
      <c r="B92" s="12" t="s">
        <v>29</v>
      </c>
      <c r="C92" s="12" t="s">
        <v>25</v>
      </c>
      <c r="D92" s="12" t="s">
        <v>26</v>
      </c>
      <c r="E92" s="12">
        <v>50</v>
      </c>
      <c r="F92" s="12">
        <v>49</v>
      </c>
      <c r="G92" s="12">
        <v>9898</v>
      </c>
      <c r="H92" s="12">
        <v>3944</v>
      </c>
      <c r="I92" s="12" t="s">
        <v>27</v>
      </c>
      <c r="J92" s="12">
        <v>5954</v>
      </c>
      <c r="K92" s="13">
        <f t="shared" si="1"/>
        <v>121.51020408163265</v>
      </c>
    </row>
    <row r="93" spans="1:11" x14ac:dyDescent="0.25">
      <c r="A93" s="8">
        <v>45383</v>
      </c>
      <c r="B93" s="9" t="s">
        <v>30</v>
      </c>
      <c r="C93" s="9" t="s">
        <v>15</v>
      </c>
      <c r="D93" s="9" t="s">
        <v>13</v>
      </c>
      <c r="E93" s="9">
        <v>35</v>
      </c>
      <c r="F93" s="9">
        <v>23</v>
      </c>
      <c r="G93" s="9">
        <v>8326</v>
      </c>
      <c r="H93" s="9">
        <v>2230</v>
      </c>
      <c r="I93" s="9" t="s">
        <v>27</v>
      </c>
      <c r="J93" s="9">
        <v>6096</v>
      </c>
      <c r="K93" s="10">
        <f t="shared" si="1"/>
        <v>265.04347826086956</v>
      </c>
    </row>
    <row r="94" spans="1:11" x14ac:dyDescent="0.25">
      <c r="A94" s="11">
        <v>45384</v>
      </c>
      <c r="B94" s="12" t="s">
        <v>30</v>
      </c>
      <c r="C94" s="12" t="s">
        <v>19</v>
      </c>
      <c r="D94" s="12" t="s">
        <v>20</v>
      </c>
      <c r="E94" s="12">
        <v>110</v>
      </c>
      <c r="F94" s="12">
        <v>24</v>
      </c>
      <c r="G94" s="12">
        <v>5400</v>
      </c>
      <c r="H94" s="12">
        <v>2153</v>
      </c>
      <c r="I94" s="12" t="s">
        <v>27</v>
      </c>
      <c r="J94" s="12">
        <v>3247</v>
      </c>
      <c r="K94" s="13">
        <f t="shared" si="1"/>
        <v>135.29166666666666</v>
      </c>
    </row>
    <row r="95" spans="1:11" x14ac:dyDescent="0.25">
      <c r="A95" s="8">
        <v>45385</v>
      </c>
      <c r="B95" s="9" t="s">
        <v>30</v>
      </c>
      <c r="C95" s="9" t="s">
        <v>24</v>
      </c>
      <c r="D95" s="9" t="s">
        <v>18</v>
      </c>
      <c r="E95" s="9">
        <v>38</v>
      </c>
      <c r="F95" s="9">
        <v>37</v>
      </c>
      <c r="G95" s="9">
        <v>15059</v>
      </c>
      <c r="H95" s="9">
        <v>7011</v>
      </c>
      <c r="I95" s="9" t="s">
        <v>16</v>
      </c>
      <c r="J95" s="9">
        <v>8048</v>
      </c>
      <c r="K95" s="10">
        <f t="shared" si="1"/>
        <v>217.51351351351352</v>
      </c>
    </row>
    <row r="96" spans="1:11" x14ac:dyDescent="0.25">
      <c r="A96" s="11">
        <v>45386</v>
      </c>
      <c r="B96" s="12" t="s">
        <v>30</v>
      </c>
      <c r="C96" s="12" t="s">
        <v>19</v>
      </c>
      <c r="D96" s="12" t="s">
        <v>20</v>
      </c>
      <c r="E96" s="12">
        <v>92</v>
      </c>
      <c r="F96" s="12">
        <v>91</v>
      </c>
      <c r="G96" s="12">
        <v>27482</v>
      </c>
      <c r="H96" s="12">
        <v>12482</v>
      </c>
      <c r="I96" s="12" t="s">
        <v>16</v>
      </c>
      <c r="J96" s="12">
        <v>15000</v>
      </c>
      <c r="K96" s="13">
        <f t="shared" si="1"/>
        <v>164.83516483516485</v>
      </c>
    </row>
    <row r="97" spans="1:11" x14ac:dyDescent="0.25">
      <c r="A97" s="8">
        <v>45387</v>
      </c>
      <c r="B97" s="9" t="s">
        <v>30</v>
      </c>
      <c r="C97" s="9" t="s">
        <v>12</v>
      </c>
      <c r="D97" s="9" t="s">
        <v>13</v>
      </c>
      <c r="E97" s="9">
        <v>87</v>
      </c>
      <c r="F97" s="9">
        <v>57</v>
      </c>
      <c r="G97" s="9">
        <v>10317</v>
      </c>
      <c r="H97" s="9">
        <v>4425</v>
      </c>
      <c r="I97" s="9" t="s">
        <v>23</v>
      </c>
      <c r="J97" s="9">
        <v>5892</v>
      </c>
      <c r="K97" s="10">
        <f t="shared" si="1"/>
        <v>103.36842105263158</v>
      </c>
    </row>
    <row r="98" spans="1:11" x14ac:dyDescent="0.25">
      <c r="A98" s="11">
        <v>45388</v>
      </c>
      <c r="B98" s="12" t="s">
        <v>30</v>
      </c>
      <c r="C98" s="12" t="s">
        <v>15</v>
      </c>
      <c r="D98" s="12" t="s">
        <v>13</v>
      </c>
      <c r="E98" s="12">
        <v>21</v>
      </c>
      <c r="F98" s="12">
        <v>17</v>
      </c>
      <c r="G98" s="12">
        <v>7684</v>
      </c>
      <c r="H98" s="12">
        <v>1954</v>
      </c>
      <c r="I98" s="12" t="s">
        <v>27</v>
      </c>
      <c r="J98" s="12">
        <v>5730</v>
      </c>
      <c r="K98" s="13">
        <f t="shared" si="1"/>
        <v>337.05882352941177</v>
      </c>
    </row>
    <row r="99" spans="1:11" x14ac:dyDescent="0.25">
      <c r="A99" s="8">
        <v>45389</v>
      </c>
      <c r="B99" s="9" t="s">
        <v>30</v>
      </c>
      <c r="C99" s="9" t="s">
        <v>22</v>
      </c>
      <c r="D99" s="9" t="s">
        <v>18</v>
      </c>
      <c r="E99" s="9">
        <v>96</v>
      </c>
      <c r="F99" s="9">
        <v>75</v>
      </c>
      <c r="G99" s="9">
        <v>16500</v>
      </c>
      <c r="H99" s="9">
        <v>4511</v>
      </c>
      <c r="I99" s="9" t="s">
        <v>23</v>
      </c>
      <c r="J99" s="9">
        <v>11989</v>
      </c>
      <c r="K99" s="10">
        <f t="shared" si="1"/>
        <v>159.85333333333332</v>
      </c>
    </row>
    <row r="100" spans="1:11" x14ac:dyDescent="0.25">
      <c r="A100" s="11">
        <v>45390</v>
      </c>
      <c r="B100" s="12" t="s">
        <v>30</v>
      </c>
      <c r="C100" s="12" t="s">
        <v>19</v>
      </c>
      <c r="D100" s="12" t="s">
        <v>20</v>
      </c>
      <c r="E100" s="12">
        <v>73</v>
      </c>
      <c r="F100" s="12">
        <v>26</v>
      </c>
      <c r="G100" s="12">
        <v>3016</v>
      </c>
      <c r="H100" s="12">
        <v>1254</v>
      </c>
      <c r="I100" s="12" t="s">
        <v>21</v>
      </c>
      <c r="J100" s="12">
        <v>1762</v>
      </c>
      <c r="K100" s="13">
        <f t="shared" si="1"/>
        <v>67.769230769230774</v>
      </c>
    </row>
    <row r="101" spans="1:11" x14ac:dyDescent="0.25">
      <c r="A101" s="8">
        <v>45391</v>
      </c>
      <c r="B101" s="9" t="s">
        <v>30</v>
      </c>
      <c r="C101" s="9" t="s">
        <v>19</v>
      </c>
      <c r="D101" s="9" t="s">
        <v>20</v>
      </c>
      <c r="E101" s="9">
        <v>73</v>
      </c>
      <c r="F101" s="9">
        <v>16</v>
      </c>
      <c r="G101" s="9">
        <v>1856</v>
      </c>
      <c r="H101" s="9">
        <v>455</v>
      </c>
      <c r="I101" s="9" t="s">
        <v>27</v>
      </c>
      <c r="J101" s="9">
        <v>1401</v>
      </c>
      <c r="K101" s="10">
        <f t="shared" si="1"/>
        <v>87.5625</v>
      </c>
    </row>
    <row r="102" spans="1:11" x14ac:dyDescent="0.25">
      <c r="A102" s="11">
        <v>45392</v>
      </c>
      <c r="B102" s="12" t="s">
        <v>30</v>
      </c>
      <c r="C102" s="12" t="s">
        <v>22</v>
      </c>
      <c r="D102" s="12" t="s">
        <v>18</v>
      </c>
      <c r="E102" s="12">
        <v>31</v>
      </c>
      <c r="F102" s="12">
        <v>30</v>
      </c>
      <c r="G102" s="12">
        <v>4620</v>
      </c>
      <c r="H102" s="12">
        <v>1478</v>
      </c>
      <c r="I102" s="12" t="s">
        <v>27</v>
      </c>
      <c r="J102" s="12">
        <v>3142</v>
      </c>
      <c r="K102" s="13">
        <f t="shared" si="1"/>
        <v>104.73333333333333</v>
      </c>
    </row>
    <row r="103" spans="1:11" x14ac:dyDescent="0.25">
      <c r="A103" s="8">
        <v>45393</v>
      </c>
      <c r="B103" s="9" t="s">
        <v>30</v>
      </c>
      <c r="C103" s="9" t="s">
        <v>24</v>
      </c>
      <c r="D103" s="9" t="s">
        <v>18</v>
      </c>
      <c r="E103" s="9">
        <v>57</v>
      </c>
      <c r="F103" s="9">
        <v>20</v>
      </c>
      <c r="G103" s="9">
        <v>7940</v>
      </c>
      <c r="H103" s="9">
        <v>3842</v>
      </c>
      <c r="I103" s="9" t="s">
        <v>27</v>
      </c>
      <c r="J103" s="9">
        <v>4098</v>
      </c>
      <c r="K103" s="10">
        <f t="shared" si="1"/>
        <v>204.9</v>
      </c>
    </row>
    <row r="104" spans="1:11" x14ac:dyDescent="0.25">
      <c r="A104" s="11">
        <v>45394</v>
      </c>
      <c r="B104" s="12" t="s">
        <v>30</v>
      </c>
      <c r="C104" s="12" t="s">
        <v>22</v>
      </c>
      <c r="D104" s="12" t="s">
        <v>18</v>
      </c>
      <c r="E104" s="12">
        <v>30</v>
      </c>
      <c r="F104" s="12">
        <v>17</v>
      </c>
      <c r="G104" s="12">
        <v>3587</v>
      </c>
      <c r="H104" s="12">
        <v>841</v>
      </c>
      <c r="I104" s="12" t="s">
        <v>27</v>
      </c>
      <c r="J104" s="12">
        <v>2746</v>
      </c>
      <c r="K104" s="13">
        <f t="shared" si="1"/>
        <v>161.52941176470588</v>
      </c>
    </row>
    <row r="105" spans="1:11" x14ac:dyDescent="0.25">
      <c r="A105" s="8">
        <v>45395</v>
      </c>
      <c r="B105" s="9" t="s">
        <v>30</v>
      </c>
      <c r="C105" s="9" t="s">
        <v>15</v>
      </c>
      <c r="D105" s="9" t="s">
        <v>13</v>
      </c>
      <c r="E105" s="9">
        <v>46</v>
      </c>
      <c r="F105" s="9">
        <v>21</v>
      </c>
      <c r="G105" s="9">
        <v>8673</v>
      </c>
      <c r="H105" s="9">
        <v>2169</v>
      </c>
      <c r="I105" s="9" t="s">
        <v>23</v>
      </c>
      <c r="J105" s="9">
        <v>6504</v>
      </c>
      <c r="K105" s="10">
        <f t="shared" si="1"/>
        <v>309.71428571428572</v>
      </c>
    </row>
    <row r="106" spans="1:11" x14ac:dyDescent="0.25">
      <c r="A106" s="11">
        <v>45396</v>
      </c>
      <c r="B106" s="12" t="s">
        <v>30</v>
      </c>
      <c r="C106" s="12" t="s">
        <v>25</v>
      </c>
      <c r="D106" s="12" t="s">
        <v>26</v>
      </c>
      <c r="E106" s="12">
        <v>109</v>
      </c>
      <c r="F106" s="12">
        <v>86</v>
      </c>
      <c r="G106" s="12">
        <v>33540</v>
      </c>
      <c r="H106" s="12">
        <v>7993</v>
      </c>
      <c r="I106" s="12" t="s">
        <v>23</v>
      </c>
      <c r="J106" s="12">
        <v>25547</v>
      </c>
      <c r="K106" s="13">
        <f t="shared" si="1"/>
        <v>297.05813953488371</v>
      </c>
    </row>
    <row r="107" spans="1:11" x14ac:dyDescent="0.25">
      <c r="A107" s="8">
        <v>45397</v>
      </c>
      <c r="B107" s="9" t="s">
        <v>30</v>
      </c>
      <c r="C107" s="9" t="s">
        <v>19</v>
      </c>
      <c r="D107" s="9" t="s">
        <v>20</v>
      </c>
      <c r="E107" s="9">
        <v>61</v>
      </c>
      <c r="F107" s="9">
        <v>52</v>
      </c>
      <c r="G107" s="9">
        <v>17680</v>
      </c>
      <c r="H107" s="9">
        <v>4783</v>
      </c>
      <c r="I107" s="9" t="s">
        <v>16</v>
      </c>
      <c r="J107" s="9">
        <v>12897</v>
      </c>
      <c r="K107" s="10">
        <f t="shared" si="1"/>
        <v>248.01923076923077</v>
      </c>
    </row>
    <row r="108" spans="1:11" x14ac:dyDescent="0.25">
      <c r="A108" s="11">
        <v>45398</v>
      </c>
      <c r="B108" s="12" t="s">
        <v>30</v>
      </c>
      <c r="C108" s="12" t="s">
        <v>19</v>
      </c>
      <c r="D108" s="12" t="s">
        <v>20</v>
      </c>
      <c r="E108" s="12">
        <v>88</v>
      </c>
      <c r="F108" s="12">
        <v>40</v>
      </c>
      <c r="G108" s="12">
        <v>10440</v>
      </c>
      <c r="H108" s="12">
        <v>2913</v>
      </c>
      <c r="I108" s="12" t="s">
        <v>14</v>
      </c>
      <c r="J108" s="12">
        <v>7527</v>
      </c>
      <c r="K108" s="13">
        <f t="shared" si="1"/>
        <v>188.17500000000001</v>
      </c>
    </row>
    <row r="109" spans="1:11" x14ac:dyDescent="0.25">
      <c r="A109" s="8">
        <v>45399</v>
      </c>
      <c r="B109" s="9" t="s">
        <v>30</v>
      </c>
      <c r="C109" s="9" t="s">
        <v>12</v>
      </c>
      <c r="D109" s="9" t="s">
        <v>13</v>
      </c>
      <c r="E109" s="9">
        <v>39</v>
      </c>
      <c r="F109" s="9">
        <v>31</v>
      </c>
      <c r="G109" s="9">
        <v>11532</v>
      </c>
      <c r="H109" s="9">
        <v>3514</v>
      </c>
      <c r="I109" s="9" t="s">
        <v>27</v>
      </c>
      <c r="J109" s="9">
        <v>8018</v>
      </c>
      <c r="K109" s="10">
        <f t="shared" si="1"/>
        <v>258.64516129032256</v>
      </c>
    </row>
    <row r="110" spans="1:11" x14ac:dyDescent="0.25">
      <c r="A110" s="11">
        <v>45400</v>
      </c>
      <c r="B110" s="12" t="s">
        <v>30</v>
      </c>
      <c r="C110" s="12" t="s">
        <v>12</v>
      </c>
      <c r="D110" s="12" t="s">
        <v>13</v>
      </c>
      <c r="E110" s="12">
        <v>31</v>
      </c>
      <c r="F110" s="12">
        <v>21</v>
      </c>
      <c r="G110" s="12">
        <v>8925</v>
      </c>
      <c r="H110" s="12">
        <v>3693</v>
      </c>
      <c r="I110" s="12" t="s">
        <v>16</v>
      </c>
      <c r="J110" s="12">
        <v>5232</v>
      </c>
      <c r="K110" s="13">
        <f t="shared" si="1"/>
        <v>249.14285714285714</v>
      </c>
    </row>
    <row r="111" spans="1:11" x14ac:dyDescent="0.25">
      <c r="A111" s="8">
        <v>45401</v>
      </c>
      <c r="B111" s="9" t="s">
        <v>30</v>
      </c>
      <c r="C111" s="9" t="s">
        <v>15</v>
      </c>
      <c r="D111" s="9" t="s">
        <v>13</v>
      </c>
      <c r="E111" s="9">
        <v>21</v>
      </c>
      <c r="F111" s="9">
        <v>21</v>
      </c>
      <c r="G111" s="9">
        <v>9660</v>
      </c>
      <c r="H111" s="9">
        <v>2656</v>
      </c>
      <c r="I111" s="9" t="s">
        <v>27</v>
      </c>
      <c r="J111" s="9">
        <v>7004</v>
      </c>
      <c r="K111" s="10">
        <f t="shared" si="1"/>
        <v>333.52380952380952</v>
      </c>
    </row>
    <row r="112" spans="1:11" x14ac:dyDescent="0.25">
      <c r="A112" s="11">
        <v>45402</v>
      </c>
      <c r="B112" s="12" t="s">
        <v>30</v>
      </c>
      <c r="C112" s="12" t="s">
        <v>12</v>
      </c>
      <c r="D112" s="12" t="s">
        <v>13</v>
      </c>
      <c r="E112" s="12">
        <v>29</v>
      </c>
      <c r="F112" s="12">
        <v>28</v>
      </c>
      <c r="G112" s="12">
        <v>4088</v>
      </c>
      <c r="H112" s="12">
        <v>1463</v>
      </c>
      <c r="I112" s="12" t="s">
        <v>27</v>
      </c>
      <c r="J112" s="12">
        <v>2625</v>
      </c>
      <c r="K112" s="13">
        <f t="shared" si="1"/>
        <v>93.75</v>
      </c>
    </row>
    <row r="113" spans="1:11" x14ac:dyDescent="0.25">
      <c r="A113" s="8">
        <v>45403</v>
      </c>
      <c r="B113" s="9" t="s">
        <v>30</v>
      </c>
      <c r="C113" s="9" t="s">
        <v>25</v>
      </c>
      <c r="D113" s="9" t="s">
        <v>26</v>
      </c>
      <c r="E113" s="9">
        <v>47</v>
      </c>
      <c r="F113" s="9">
        <v>35</v>
      </c>
      <c r="G113" s="9">
        <v>16485</v>
      </c>
      <c r="H113" s="9">
        <v>4008</v>
      </c>
      <c r="I113" s="9" t="s">
        <v>21</v>
      </c>
      <c r="J113" s="9">
        <v>12477</v>
      </c>
      <c r="K113" s="10">
        <f t="shared" si="1"/>
        <v>356.48571428571427</v>
      </c>
    </row>
    <row r="114" spans="1:11" x14ac:dyDescent="0.25">
      <c r="A114" s="11">
        <v>45404</v>
      </c>
      <c r="B114" s="12" t="s">
        <v>30</v>
      </c>
      <c r="C114" s="12" t="s">
        <v>12</v>
      </c>
      <c r="D114" s="12" t="s">
        <v>13</v>
      </c>
      <c r="E114" s="12">
        <v>61</v>
      </c>
      <c r="F114" s="12">
        <v>58</v>
      </c>
      <c r="G114" s="12">
        <v>27028</v>
      </c>
      <c r="H114" s="12">
        <v>10777</v>
      </c>
      <c r="I114" s="12" t="s">
        <v>23</v>
      </c>
      <c r="J114" s="12">
        <v>16251</v>
      </c>
      <c r="K114" s="13">
        <f t="shared" si="1"/>
        <v>280.18965517241378</v>
      </c>
    </row>
    <row r="115" spans="1:11" x14ac:dyDescent="0.25">
      <c r="A115" s="8">
        <v>45405</v>
      </c>
      <c r="B115" s="9" t="s">
        <v>30</v>
      </c>
      <c r="C115" s="9" t="s">
        <v>24</v>
      </c>
      <c r="D115" s="9" t="s">
        <v>18</v>
      </c>
      <c r="E115" s="9">
        <v>114</v>
      </c>
      <c r="F115" s="9">
        <v>40</v>
      </c>
      <c r="G115" s="9">
        <v>16160</v>
      </c>
      <c r="H115" s="9">
        <v>7283</v>
      </c>
      <c r="I115" s="9" t="s">
        <v>27</v>
      </c>
      <c r="J115" s="9">
        <v>8877</v>
      </c>
      <c r="K115" s="10">
        <f t="shared" si="1"/>
        <v>221.92500000000001</v>
      </c>
    </row>
    <row r="116" spans="1:11" x14ac:dyDescent="0.25">
      <c r="A116" s="11">
        <v>45406</v>
      </c>
      <c r="B116" s="12" t="s">
        <v>30</v>
      </c>
      <c r="C116" s="12" t="s">
        <v>25</v>
      </c>
      <c r="D116" s="12" t="s">
        <v>26</v>
      </c>
      <c r="E116" s="12">
        <v>56</v>
      </c>
      <c r="F116" s="12">
        <v>30</v>
      </c>
      <c r="G116" s="12">
        <v>5130</v>
      </c>
      <c r="H116" s="12">
        <v>1091</v>
      </c>
      <c r="I116" s="12" t="s">
        <v>23</v>
      </c>
      <c r="J116" s="12">
        <v>4039</v>
      </c>
      <c r="K116" s="13">
        <f t="shared" si="1"/>
        <v>134.63333333333333</v>
      </c>
    </row>
    <row r="117" spans="1:11" x14ac:dyDescent="0.25">
      <c r="A117" s="8">
        <v>45407</v>
      </c>
      <c r="B117" s="9" t="s">
        <v>30</v>
      </c>
      <c r="C117" s="9" t="s">
        <v>15</v>
      </c>
      <c r="D117" s="9" t="s">
        <v>13</v>
      </c>
      <c r="E117" s="9">
        <v>88</v>
      </c>
      <c r="F117" s="9">
        <v>87</v>
      </c>
      <c r="G117" s="9">
        <v>16356</v>
      </c>
      <c r="H117" s="9">
        <v>4146</v>
      </c>
      <c r="I117" s="9" t="s">
        <v>14</v>
      </c>
      <c r="J117" s="9">
        <v>12210</v>
      </c>
      <c r="K117" s="10">
        <f t="shared" si="1"/>
        <v>140.34482758620689</v>
      </c>
    </row>
    <row r="118" spans="1:11" x14ac:dyDescent="0.25">
      <c r="A118" s="11">
        <v>45408</v>
      </c>
      <c r="B118" s="12" t="s">
        <v>30</v>
      </c>
      <c r="C118" s="12" t="s">
        <v>17</v>
      </c>
      <c r="D118" s="12" t="s">
        <v>18</v>
      </c>
      <c r="E118" s="12">
        <v>71</v>
      </c>
      <c r="F118" s="12">
        <v>39</v>
      </c>
      <c r="G118" s="12">
        <v>10764</v>
      </c>
      <c r="H118" s="12">
        <v>5334</v>
      </c>
      <c r="I118" s="12" t="s">
        <v>14</v>
      </c>
      <c r="J118" s="12">
        <v>5430</v>
      </c>
      <c r="K118" s="13">
        <f t="shared" si="1"/>
        <v>139.23076923076923</v>
      </c>
    </row>
    <row r="119" spans="1:11" x14ac:dyDescent="0.25">
      <c r="A119" s="8">
        <v>45409</v>
      </c>
      <c r="B119" s="9" t="s">
        <v>30</v>
      </c>
      <c r="C119" s="9" t="s">
        <v>15</v>
      </c>
      <c r="D119" s="9" t="s">
        <v>13</v>
      </c>
      <c r="E119" s="9">
        <v>109</v>
      </c>
      <c r="F119" s="9">
        <v>78</v>
      </c>
      <c r="G119" s="9">
        <v>15912</v>
      </c>
      <c r="H119" s="9">
        <v>7126</v>
      </c>
      <c r="I119" s="9" t="s">
        <v>21</v>
      </c>
      <c r="J119" s="9">
        <v>8786</v>
      </c>
      <c r="K119" s="10">
        <f t="shared" si="1"/>
        <v>112.64102564102564</v>
      </c>
    </row>
    <row r="120" spans="1:11" x14ac:dyDescent="0.25">
      <c r="A120" s="11">
        <v>45410</v>
      </c>
      <c r="B120" s="12" t="s">
        <v>30</v>
      </c>
      <c r="C120" s="12" t="s">
        <v>19</v>
      </c>
      <c r="D120" s="12" t="s">
        <v>20</v>
      </c>
      <c r="E120" s="12">
        <v>89</v>
      </c>
      <c r="F120" s="12">
        <v>28</v>
      </c>
      <c r="G120" s="12">
        <v>4452</v>
      </c>
      <c r="H120" s="12">
        <v>1154</v>
      </c>
      <c r="I120" s="12" t="s">
        <v>21</v>
      </c>
      <c r="J120" s="12">
        <v>3298</v>
      </c>
      <c r="K120" s="13">
        <f t="shared" si="1"/>
        <v>117.78571428571429</v>
      </c>
    </row>
    <row r="121" spans="1:11" x14ac:dyDescent="0.25">
      <c r="A121" s="8">
        <v>45411</v>
      </c>
      <c r="B121" s="9" t="s">
        <v>30</v>
      </c>
      <c r="C121" s="9" t="s">
        <v>22</v>
      </c>
      <c r="D121" s="9" t="s">
        <v>18</v>
      </c>
      <c r="E121" s="9">
        <v>38</v>
      </c>
      <c r="F121" s="9">
        <v>20</v>
      </c>
      <c r="G121" s="9">
        <v>2960</v>
      </c>
      <c r="H121" s="9">
        <v>1056</v>
      </c>
      <c r="I121" s="9" t="s">
        <v>16</v>
      </c>
      <c r="J121" s="9">
        <v>1904</v>
      </c>
      <c r="K121" s="10">
        <f t="shared" si="1"/>
        <v>95.2</v>
      </c>
    </row>
    <row r="122" spans="1:11" x14ac:dyDescent="0.25">
      <c r="A122" s="11">
        <v>45412</v>
      </c>
      <c r="B122" s="12" t="s">
        <v>30</v>
      </c>
      <c r="C122" s="12" t="s">
        <v>17</v>
      </c>
      <c r="D122" s="12" t="s">
        <v>18</v>
      </c>
      <c r="E122" s="12">
        <v>83</v>
      </c>
      <c r="F122" s="12">
        <v>59</v>
      </c>
      <c r="G122" s="12">
        <v>7906</v>
      </c>
      <c r="H122" s="12">
        <v>2057</v>
      </c>
      <c r="I122" s="12" t="s">
        <v>27</v>
      </c>
      <c r="J122" s="12">
        <v>5849</v>
      </c>
      <c r="K122" s="13">
        <f t="shared" si="1"/>
        <v>99.13559322033899</v>
      </c>
    </row>
    <row r="123" spans="1:11" x14ac:dyDescent="0.25">
      <c r="A123" s="8">
        <v>45413</v>
      </c>
      <c r="B123" s="9" t="s">
        <v>31</v>
      </c>
      <c r="C123" s="9" t="s">
        <v>12</v>
      </c>
      <c r="D123" s="9" t="s">
        <v>13</v>
      </c>
      <c r="E123" s="9">
        <v>48</v>
      </c>
      <c r="F123" s="9">
        <v>27</v>
      </c>
      <c r="G123" s="9">
        <v>9369</v>
      </c>
      <c r="H123" s="9">
        <v>4638</v>
      </c>
      <c r="I123" s="9" t="s">
        <v>14</v>
      </c>
      <c r="J123" s="9">
        <v>4731</v>
      </c>
      <c r="K123" s="10">
        <f t="shared" si="1"/>
        <v>175.22222222222223</v>
      </c>
    </row>
    <row r="124" spans="1:11" x14ac:dyDescent="0.25">
      <c r="A124" s="11">
        <v>45414</v>
      </c>
      <c r="B124" s="12" t="s">
        <v>31</v>
      </c>
      <c r="C124" s="12" t="s">
        <v>17</v>
      </c>
      <c r="D124" s="12" t="s">
        <v>18</v>
      </c>
      <c r="E124" s="12">
        <v>97</v>
      </c>
      <c r="F124" s="12">
        <v>70</v>
      </c>
      <c r="G124" s="12">
        <v>14630</v>
      </c>
      <c r="H124" s="12">
        <v>5826</v>
      </c>
      <c r="I124" s="12" t="s">
        <v>16</v>
      </c>
      <c r="J124" s="12">
        <v>8804</v>
      </c>
      <c r="K124" s="13">
        <f t="shared" si="1"/>
        <v>125.77142857142857</v>
      </c>
    </row>
    <row r="125" spans="1:11" x14ac:dyDescent="0.25">
      <c r="A125" s="8">
        <v>45415</v>
      </c>
      <c r="B125" s="9" t="s">
        <v>31</v>
      </c>
      <c r="C125" s="9" t="s">
        <v>19</v>
      </c>
      <c r="D125" s="9" t="s">
        <v>20</v>
      </c>
      <c r="E125" s="9">
        <v>34</v>
      </c>
      <c r="F125" s="9">
        <v>21</v>
      </c>
      <c r="G125" s="9">
        <v>8904</v>
      </c>
      <c r="H125" s="9">
        <v>3184</v>
      </c>
      <c r="I125" s="9" t="s">
        <v>21</v>
      </c>
      <c r="J125" s="9">
        <v>5720</v>
      </c>
      <c r="K125" s="10">
        <f t="shared" si="1"/>
        <v>272.38095238095241</v>
      </c>
    </row>
    <row r="126" spans="1:11" x14ac:dyDescent="0.25">
      <c r="A126" s="11">
        <v>45416</v>
      </c>
      <c r="B126" s="12" t="s">
        <v>31</v>
      </c>
      <c r="C126" s="12" t="s">
        <v>24</v>
      </c>
      <c r="D126" s="12" t="s">
        <v>18</v>
      </c>
      <c r="E126" s="12">
        <v>109</v>
      </c>
      <c r="F126" s="12">
        <v>97</v>
      </c>
      <c r="G126" s="12">
        <v>46172</v>
      </c>
      <c r="H126" s="12">
        <v>14936</v>
      </c>
      <c r="I126" s="12" t="s">
        <v>16</v>
      </c>
      <c r="J126" s="12">
        <v>31236</v>
      </c>
      <c r="K126" s="13">
        <f t="shared" si="1"/>
        <v>322.02061855670104</v>
      </c>
    </row>
    <row r="127" spans="1:11" x14ac:dyDescent="0.25">
      <c r="A127" s="8">
        <v>45417</v>
      </c>
      <c r="B127" s="9" t="s">
        <v>31</v>
      </c>
      <c r="C127" s="9" t="s">
        <v>12</v>
      </c>
      <c r="D127" s="9" t="s">
        <v>13</v>
      </c>
      <c r="E127" s="9">
        <v>85</v>
      </c>
      <c r="F127" s="9">
        <v>48</v>
      </c>
      <c r="G127" s="9">
        <v>20592</v>
      </c>
      <c r="H127" s="9">
        <v>6546</v>
      </c>
      <c r="I127" s="9" t="s">
        <v>21</v>
      </c>
      <c r="J127" s="9">
        <v>14046</v>
      </c>
      <c r="K127" s="10">
        <f t="shared" si="1"/>
        <v>292.625</v>
      </c>
    </row>
    <row r="128" spans="1:11" x14ac:dyDescent="0.25">
      <c r="A128" s="11">
        <v>45418</v>
      </c>
      <c r="B128" s="12" t="s">
        <v>31</v>
      </c>
      <c r="C128" s="12" t="s">
        <v>25</v>
      </c>
      <c r="D128" s="12" t="s">
        <v>26</v>
      </c>
      <c r="E128" s="12">
        <v>23</v>
      </c>
      <c r="F128" s="12">
        <v>11</v>
      </c>
      <c r="G128" s="12">
        <v>2420</v>
      </c>
      <c r="H128" s="12">
        <v>768</v>
      </c>
      <c r="I128" s="12" t="s">
        <v>16</v>
      </c>
      <c r="J128" s="12">
        <v>1652</v>
      </c>
      <c r="K128" s="13">
        <f t="shared" si="1"/>
        <v>150.18181818181819</v>
      </c>
    </row>
    <row r="129" spans="1:11" x14ac:dyDescent="0.25">
      <c r="A129" s="8">
        <v>45419</v>
      </c>
      <c r="B129" s="9" t="s">
        <v>31</v>
      </c>
      <c r="C129" s="9" t="s">
        <v>25</v>
      </c>
      <c r="D129" s="9" t="s">
        <v>26</v>
      </c>
      <c r="E129" s="9">
        <v>80</v>
      </c>
      <c r="F129" s="9">
        <v>13</v>
      </c>
      <c r="G129" s="9">
        <v>5018</v>
      </c>
      <c r="H129" s="9">
        <v>2412</v>
      </c>
      <c r="I129" s="9" t="s">
        <v>21</v>
      </c>
      <c r="J129" s="9">
        <v>2606</v>
      </c>
      <c r="K129" s="10">
        <f t="shared" si="1"/>
        <v>200.46153846153845</v>
      </c>
    </row>
    <row r="130" spans="1:11" x14ac:dyDescent="0.25">
      <c r="A130" s="11">
        <v>45420</v>
      </c>
      <c r="B130" s="12" t="s">
        <v>31</v>
      </c>
      <c r="C130" s="12" t="s">
        <v>19</v>
      </c>
      <c r="D130" s="12" t="s">
        <v>20</v>
      </c>
      <c r="E130" s="12">
        <v>42</v>
      </c>
      <c r="F130" s="12">
        <v>36</v>
      </c>
      <c r="G130" s="12">
        <v>17316</v>
      </c>
      <c r="H130" s="12">
        <v>7946</v>
      </c>
      <c r="I130" s="12" t="s">
        <v>16</v>
      </c>
      <c r="J130" s="12">
        <v>9370</v>
      </c>
      <c r="K130" s="13">
        <f t="shared" ref="K130:K193" si="2">IF(F130=0,0,J130/F130)</f>
        <v>260.27777777777777</v>
      </c>
    </row>
    <row r="131" spans="1:11" x14ac:dyDescent="0.25">
      <c r="A131" s="8">
        <v>45421</v>
      </c>
      <c r="B131" s="9" t="s">
        <v>31</v>
      </c>
      <c r="C131" s="9" t="s">
        <v>19</v>
      </c>
      <c r="D131" s="9" t="s">
        <v>20</v>
      </c>
      <c r="E131" s="9">
        <v>86</v>
      </c>
      <c r="F131" s="9">
        <v>40</v>
      </c>
      <c r="G131" s="9">
        <v>17440</v>
      </c>
      <c r="H131" s="9">
        <v>6665</v>
      </c>
      <c r="I131" s="9" t="s">
        <v>16</v>
      </c>
      <c r="J131" s="9">
        <v>10775</v>
      </c>
      <c r="K131" s="10">
        <f t="shared" si="2"/>
        <v>269.375</v>
      </c>
    </row>
    <row r="132" spans="1:11" x14ac:dyDescent="0.25">
      <c r="A132" s="11">
        <v>45422</v>
      </c>
      <c r="B132" s="12" t="s">
        <v>31</v>
      </c>
      <c r="C132" s="12" t="s">
        <v>24</v>
      </c>
      <c r="D132" s="12" t="s">
        <v>18</v>
      </c>
      <c r="E132" s="12">
        <v>86</v>
      </c>
      <c r="F132" s="12">
        <v>27</v>
      </c>
      <c r="G132" s="12">
        <v>12609</v>
      </c>
      <c r="H132" s="12">
        <v>5657</v>
      </c>
      <c r="I132" s="12" t="s">
        <v>27</v>
      </c>
      <c r="J132" s="12">
        <v>6952</v>
      </c>
      <c r="K132" s="13">
        <f t="shared" si="2"/>
        <v>257.48148148148147</v>
      </c>
    </row>
    <row r="133" spans="1:11" x14ac:dyDescent="0.25">
      <c r="A133" s="8">
        <v>45423</v>
      </c>
      <c r="B133" s="9" t="s">
        <v>31</v>
      </c>
      <c r="C133" s="9" t="s">
        <v>24</v>
      </c>
      <c r="D133" s="9" t="s">
        <v>18</v>
      </c>
      <c r="E133" s="9">
        <v>119</v>
      </c>
      <c r="F133" s="9">
        <v>42</v>
      </c>
      <c r="G133" s="9">
        <v>4326</v>
      </c>
      <c r="H133" s="9">
        <v>1832</v>
      </c>
      <c r="I133" s="9" t="s">
        <v>27</v>
      </c>
      <c r="J133" s="9">
        <v>2494</v>
      </c>
      <c r="K133" s="10">
        <f t="shared" si="2"/>
        <v>59.38095238095238</v>
      </c>
    </row>
    <row r="134" spans="1:11" x14ac:dyDescent="0.25">
      <c r="A134" s="11">
        <v>45424</v>
      </c>
      <c r="B134" s="12" t="s">
        <v>31</v>
      </c>
      <c r="C134" s="12" t="s">
        <v>24</v>
      </c>
      <c r="D134" s="12" t="s">
        <v>18</v>
      </c>
      <c r="E134" s="12">
        <v>39</v>
      </c>
      <c r="F134" s="12">
        <v>26</v>
      </c>
      <c r="G134" s="12">
        <v>8762</v>
      </c>
      <c r="H134" s="12">
        <v>4058</v>
      </c>
      <c r="I134" s="12" t="s">
        <v>16</v>
      </c>
      <c r="J134" s="12">
        <v>4704</v>
      </c>
      <c r="K134" s="13">
        <f t="shared" si="2"/>
        <v>180.92307692307693</v>
      </c>
    </row>
    <row r="135" spans="1:11" x14ac:dyDescent="0.25">
      <c r="A135" s="8">
        <v>45425</v>
      </c>
      <c r="B135" s="9" t="s">
        <v>31</v>
      </c>
      <c r="C135" s="9" t="s">
        <v>25</v>
      </c>
      <c r="D135" s="9" t="s">
        <v>26</v>
      </c>
      <c r="E135" s="9">
        <v>58</v>
      </c>
      <c r="F135" s="9">
        <v>42</v>
      </c>
      <c r="G135" s="9">
        <v>13566</v>
      </c>
      <c r="H135" s="9">
        <v>3248</v>
      </c>
      <c r="I135" s="9" t="s">
        <v>14</v>
      </c>
      <c r="J135" s="9">
        <v>10318</v>
      </c>
      <c r="K135" s="10">
        <f t="shared" si="2"/>
        <v>245.66666666666666</v>
      </c>
    </row>
    <row r="136" spans="1:11" x14ac:dyDescent="0.25">
      <c r="A136" s="11">
        <v>45426</v>
      </c>
      <c r="B136" s="12" t="s">
        <v>31</v>
      </c>
      <c r="C136" s="12" t="s">
        <v>15</v>
      </c>
      <c r="D136" s="12" t="s">
        <v>13</v>
      </c>
      <c r="E136" s="12">
        <v>113</v>
      </c>
      <c r="F136" s="12">
        <v>93</v>
      </c>
      <c r="G136" s="12">
        <v>38130</v>
      </c>
      <c r="H136" s="12">
        <v>13631</v>
      </c>
      <c r="I136" s="12" t="s">
        <v>23</v>
      </c>
      <c r="J136" s="12">
        <v>24499</v>
      </c>
      <c r="K136" s="13">
        <f t="shared" si="2"/>
        <v>263.43010752688173</v>
      </c>
    </row>
    <row r="137" spans="1:11" x14ac:dyDescent="0.25">
      <c r="A137" s="8">
        <v>45427</v>
      </c>
      <c r="B137" s="9" t="s">
        <v>31</v>
      </c>
      <c r="C137" s="9" t="s">
        <v>22</v>
      </c>
      <c r="D137" s="9" t="s">
        <v>18</v>
      </c>
      <c r="E137" s="9">
        <v>40</v>
      </c>
      <c r="F137" s="9">
        <v>29</v>
      </c>
      <c r="G137" s="9">
        <v>11542</v>
      </c>
      <c r="H137" s="9">
        <v>4221</v>
      </c>
      <c r="I137" s="9" t="s">
        <v>27</v>
      </c>
      <c r="J137" s="9">
        <v>7321</v>
      </c>
      <c r="K137" s="10">
        <f t="shared" si="2"/>
        <v>252.44827586206895</v>
      </c>
    </row>
    <row r="138" spans="1:11" x14ac:dyDescent="0.25">
      <c r="A138" s="11">
        <v>45428</v>
      </c>
      <c r="B138" s="12" t="s">
        <v>31</v>
      </c>
      <c r="C138" s="12" t="s">
        <v>17</v>
      </c>
      <c r="D138" s="12" t="s">
        <v>18</v>
      </c>
      <c r="E138" s="12">
        <v>36</v>
      </c>
      <c r="F138" s="12">
        <v>16</v>
      </c>
      <c r="G138" s="12">
        <v>6384</v>
      </c>
      <c r="H138" s="12">
        <v>2370</v>
      </c>
      <c r="I138" s="12" t="s">
        <v>23</v>
      </c>
      <c r="J138" s="12">
        <v>4014</v>
      </c>
      <c r="K138" s="13">
        <f t="shared" si="2"/>
        <v>250.875</v>
      </c>
    </row>
    <row r="139" spans="1:11" x14ac:dyDescent="0.25">
      <c r="A139" s="8">
        <v>45429</v>
      </c>
      <c r="B139" s="9" t="s">
        <v>31</v>
      </c>
      <c r="C139" s="9" t="s">
        <v>17</v>
      </c>
      <c r="D139" s="9" t="s">
        <v>18</v>
      </c>
      <c r="E139" s="9">
        <v>66</v>
      </c>
      <c r="F139" s="9">
        <v>27</v>
      </c>
      <c r="G139" s="9">
        <v>2727</v>
      </c>
      <c r="H139" s="9">
        <v>556</v>
      </c>
      <c r="I139" s="9" t="s">
        <v>27</v>
      </c>
      <c r="J139" s="9">
        <v>2171</v>
      </c>
      <c r="K139" s="10">
        <f t="shared" si="2"/>
        <v>80.407407407407405</v>
      </c>
    </row>
    <row r="140" spans="1:11" x14ac:dyDescent="0.25">
      <c r="A140" s="11">
        <v>45430</v>
      </c>
      <c r="B140" s="12" t="s">
        <v>31</v>
      </c>
      <c r="C140" s="12" t="s">
        <v>19</v>
      </c>
      <c r="D140" s="12" t="s">
        <v>20</v>
      </c>
      <c r="E140" s="12">
        <v>103</v>
      </c>
      <c r="F140" s="12">
        <v>77</v>
      </c>
      <c r="G140" s="12">
        <v>37499</v>
      </c>
      <c r="H140" s="12">
        <v>18737</v>
      </c>
      <c r="I140" s="12" t="s">
        <v>21</v>
      </c>
      <c r="J140" s="12">
        <v>18762</v>
      </c>
      <c r="K140" s="13">
        <f t="shared" si="2"/>
        <v>243.66233766233765</v>
      </c>
    </row>
    <row r="141" spans="1:11" x14ac:dyDescent="0.25">
      <c r="A141" s="8">
        <v>45431</v>
      </c>
      <c r="B141" s="9" t="s">
        <v>31</v>
      </c>
      <c r="C141" s="9" t="s">
        <v>19</v>
      </c>
      <c r="D141" s="9" t="s">
        <v>20</v>
      </c>
      <c r="E141" s="9">
        <v>57</v>
      </c>
      <c r="F141" s="9">
        <v>56</v>
      </c>
      <c r="G141" s="9">
        <v>24304</v>
      </c>
      <c r="H141" s="9">
        <v>6093</v>
      </c>
      <c r="I141" s="9" t="s">
        <v>14</v>
      </c>
      <c r="J141" s="9">
        <v>18211</v>
      </c>
      <c r="K141" s="10">
        <f t="shared" si="2"/>
        <v>325.19642857142856</v>
      </c>
    </row>
    <row r="142" spans="1:11" x14ac:dyDescent="0.25">
      <c r="A142" s="11">
        <v>45432</v>
      </c>
      <c r="B142" s="12" t="s">
        <v>31</v>
      </c>
      <c r="C142" s="12" t="s">
        <v>15</v>
      </c>
      <c r="D142" s="12" t="s">
        <v>13</v>
      </c>
      <c r="E142" s="12">
        <v>86</v>
      </c>
      <c r="F142" s="12">
        <v>61</v>
      </c>
      <c r="G142" s="12">
        <v>19215</v>
      </c>
      <c r="H142" s="12">
        <v>4911</v>
      </c>
      <c r="I142" s="12" t="s">
        <v>21</v>
      </c>
      <c r="J142" s="12">
        <v>14304</v>
      </c>
      <c r="K142" s="13">
        <f t="shared" si="2"/>
        <v>234.49180327868854</v>
      </c>
    </row>
    <row r="143" spans="1:11" x14ac:dyDescent="0.25">
      <c r="A143" s="8">
        <v>45433</v>
      </c>
      <c r="B143" s="9" t="s">
        <v>31</v>
      </c>
      <c r="C143" s="9" t="s">
        <v>25</v>
      </c>
      <c r="D143" s="9" t="s">
        <v>26</v>
      </c>
      <c r="E143" s="9">
        <v>94</v>
      </c>
      <c r="F143" s="9">
        <v>56</v>
      </c>
      <c r="G143" s="9">
        <v>15232</v>
      </c>
      <c r="H143" s="9">
        <v>4133</v>
      </c>
      <c r="I143" s="9" t="s">
        <v>27</v>
      </c>
      <c r="J143" s="9">
        <v>11099</v>
      </c>
      <c r="K143" s="10">
        <f t="shared" si="2"/>
        <v>198.19642857142858</v>
      </c>
    </row>
    <row r="144" spans="1:11" x14ac:dyDescent="0.25">
      <c r="A144" s="11">
        <v>45434</v>
      </c>
      <c r="B144" s="12" t="s">
        <v>31</v>
      </c>
      <c r="C144" s="12" t="s">
        <v>25</v>
      </c>
      <c r="D144" s="12" t="s">
        <v>26</v>
      </c>
      <c r="E144" s="12">
        <v>31</v>
      </c>
      <c r="F144" s="12">
        <v>19</v>
      </c>
      <c r="G144" s="12">
        <v>8949</v>
      </c>
      <c r="H144" s="12">
        <v>3153</v>
      </c>
      <c r="I144" s="12" t="s">
        <v>27</v>
      </c>
      <c r="J144" s="12">
        <v>5796</v>
      </c>
      <c r="K144" s="13">
        <f t="shared" si="2"/>
        <v>305.05263157894734</v>
      </c>
    </row>
    <row r="145" spans="1:11" x14ac:dyDescent="0.25">
      <c r="A145" s="8">
        <v>45435</v>
      </c>
      <c r="B145" s="9" t="s">
        <v>31</v>
      </c>
      <c r="C145" s="9" t="s">
        <v>22</v>
      </c>
      <c r="D145" s="9" t="s">
        <v>18</v>
      </c>
      <c r="E145" s="9">
        <v>96</v>
      </c>
      <c r="F145" s="9">
        <v>21</v>
      </c>
      <c r="G145" s="9">
        <v>5649</v>
      </c>
      <c r="H145" s="9">
        <v>2219</v>
      </c>
      <c r="I145" s="9" t="s">
        <v>16</v>
      </c>
      <c r="J145" s="9">
        <v>3430</v>
      </c>
      <c r="K145" s="10">
        <f t="shared" si="2"/>
        <v>163.33333333333334</v>
      </c>
    </row>
    <row r="146" spans="1:11" x14ac:dyDescent="0.25">
      <c r="A146" s="11">
        <v>45436</v>
      </c>
      <c r="B146" s="12" t="s">
        <v>31</v>
      </c>
      <c r="C146" s="12" t="s">
        <v>24</v>
      </c>
      <c r="D146" s="12" t="s">
        <v>18</v>
      </c>
      <c r="E146" s="12">
        <v>100</v>
      </c>
      <c r="F146" s="12">
        <v>72</v>
      </c>
      <c r="G146" s="12">
        <v>17712</v>
      </c>
      <c r="H146" s="12">
        <v>4019</v>
      </c>
      <c r="I146" s="12" t="s">
        <v>23</v>
      </c>
      <c r="J146" s="12">
        <v>13693</v>
      </c>
      <c r="K146" s="13">
        <f t="shared" si="2"/>
        <v>190.18055555555554</v>
      </c>
    </row>
    <row r="147" spans="1:11" x14ac:dyDescent="0.25">
      <c r="A147" s="8">
        <v>45437</v>
      </c>
      <c r="B147" s="9" t="s">
        <v>31</v>
      </c>
      <c r="C147" s="9" t="s">
        <v>12</v>
      </c>
      <c r="D147" s="9" t="s">
        <v>13</v>
      </c>
      <c r="E147" s="9">
        <v>28</v>
      </c>
      <c r="F147" s="9">
        <v>27</v>
      </c>
      <c r="G147" s="9">
        <v>7290</v>
      </c>
      <c r="H147" s="9">
        <v>3636</v>
      </c>
      <c r="I147" s="9" t="s">
        <v>21</v>
      </c>
      <c r="J147" s="9">
        <v>3654</v>
      </c>
      <c r="K147" s="10">
        <f t="shared" si="2"/>
        <v>135.33333333333334</v>
      </c>
    </row>
    <row r="148" spans="1:11" x14ac:dyDescent="0.25">
      <c r="A148" s="11">
        <v>45438</v>
      </c>
      <c r="B148" s="12" t="s">
        <v>31</v>
      </c>
      <c r="C148" s="12" t="s">
        <v>22</v>
      </c>
      <c r="D148" s="12" t="s">
        <v>18</v>
      </c>
      <c r="E148" s="12">
        <v>98</v>
      </c>
      <c r="F148" s="12">
        <v>17</v>
      </c>
      <c r="G148" s="12">
        <v>5372</v>
      </c>
      <c r="H148" s="12">
        <v>1892</v>
      </c>
      <c r="I148" s="12" t="s">
        <v>21</v>
      </c>
      <c r="J148" s="12">
        <v>3480</v>
      </c>
      <c r="K148" s="13">
        <f t="shared" si="2"/>
        <v>204.70588235294119</v>
      </c>
    </row>
    <row r="149" spans="1:11" x14ac:dyDescent="0.25">
      <c r="A149" s="8">
        <v>45439</v>
      </c>
      <c r="B149" s="9" t="s">
        <v>31</v>
      </c>
      <c r="C149" s="9" t="s">
        <v>19</v>
      </c>
      <c r="D149" s="9" t="s">
        <v>20</v>
      </c>
      <c r="E149" s="9">
        <v>72</v>
      </c>
      <c r="F149" s="9">
        <v>14</v>
      </c>
      <c r="G149" s="9">
        <v>2534</v>
      </c>
      <c r="H149" s="9">
        <v>989</v>
      </c>
      <c r="I149" s="9" t="s">
        <v>27</v>
      </c>
      <c r="J149" s="9">
        <v>1545</v>
      </c>
      <c r="K149" s="10">
        <f t="shared" si="2"/>
        <v>110.35714285714286</v>
      </c>
    </row>
    <row r="150" spans="1:11" x14ac:dyDescent="0.25">
      <c r="A150" s="11">
        <v>45440</v>
      </c>
      <c r="B150" s="12" t="s">
        <v>31</v>
      </c>
      <c r="C150" s="12" t="s">
        <v>15</v>
      </c>
      <c r="D150" s="12" t="s">
        <v>13</v>
      </c>
      <c r="E150" s="12">
        <v>67</v>
      </c>
      <c r="F150" s="12">
        <v>12</v>
      </c>
      <c r="G150" s="12">
        <v>5988</v>
      </c>
      <c r="H150" s="12">
        <v>2849</v>
      </c>
      <c r="I150" s="12" t="s">
        <v>23</v>
      </c>
      <c r="J150" s="12">
        <v>3139</v>
      </c>
      <c r="K150" s="13">
        <f t="shared" si="2"/>
        <v>261.58333333333331</v>
      </c>
    </row>
    <row r="151" spans="1:11" x14ac:dyDescent="0.25">
      <c r="A151" s="8">
        <v>45441</v>
      </c>
      <c r="B151" s="9" t="s">
        <v>31</v>
      </c>
      <c r="C151" s="9" t="s">
        <v>22</v>
      </c>
      <c r="D151" s="9" t="s">
        <v>18</v>
      </c>
      <c r="E151" s="9">
        <v>109</v>
      </c>
      <c r="F151" s="9">
        <v>31</v>
      </c>
      <c r="G151" s="9">
        <v>7502</v>
      </c>
      <c r="H151" s="9">
        <v>2801</v>
      </c>
      <c r="I151" s="9" t="s">
        <v>27</v>
      </c>
      <c r="J151" s="9">
        <v>4701</v>
      </c>
      <c r="K151" s="10">
        <f t="shared" si="2"/>
        <v>151.64516129032259</v>
      </c>
    </row>
    <row r="152" spans="1:11" x14ac:dyDescent="0.25">
      <c r="A152" s="11">
        <v>45442</v>
      </c>
      <c r="B152" s="12" t="s">
        <v>31</v>
      </c>
      <c r="C152" s="12" t="s">
        <v>22</v>
      </c>
      <c r="D152" s="12" t="s">
        <v>18</v>
      </c>
      <c r="E152" s="12">
        <v>54</v>
      </c>
      <c r="F152" s="12">
        <v>49</v>
      </c>
      <c r="G152" s="12">
        <v>15092</v>
      </c>
      <c r="H152" s="12">
        <v>3843</v>
      </c>
      <c r="I152" s="12" t="s">
        <v>27</v>
      </c>
      <c r="J152" s="12">
        <v>11249</v>
      </c>
      <c r="K152" s="13">
        <f t="shared" si="2"/>
        <v>229.57142857142858</v>
      </c>
    </row>
    <row r="153" spans="1:11" x14ac:dyDescent="0.25">
      <c r="A153" s="8">
        <v>45443</v>
      </c>
      <c r="B153" s="9" t="s">
        <v>31</v>
      </c>
      <c r="C153" s="9" t="s">
        <v>22</v>
      </c>
      <c r="D153" s="9" t="s">
        <v>18</v>
      </c>
      <c r="E153" s="9">
        <v>80</v>
      </c>
      <c r="F153" s="9">
        <v>37</v>
      </c>
      <c r="G153" s="9">
        <v>17205</v>
      </c>
      <c r="H153" s="9">
        <v>5934</v>
      </c>
      <c r="I153" s="9" t="s">
        <v>21</v>
      </c>
      <c r="J153" s="9">
        <v>11271</v>
      </c>
      <c r="K153" s="10">
        <f t="shared" si="2"/>
        <v>304.62162162162161</v>
      </c>
    </row>
    <row r="154" spans="1:11" x14ac:dyDescent="0.25">
      <c r="A154" s="11">
        <v>45444</v>
      </c>
      <c r="B154" s="12" t="s">
        <v>32</v>
      </c>
      <c r="C154" s="12" t="s">
        <v>19</v>
      </c>
      <c r="D154" s="12" t="s">
        <v>20</v>
      </c>
      <c r="E154" s="12">
        <v>25</v>
      </c>
      <c r="F154" s="12">
        <v>23</v>
      </c>
      <c r="G154" s="12">
        <v>2415</v>
      </c>
      <c r="H154" s="12">
        <v>1185</v>
      </c>
      <c r="I154" s="12" t="s">
        <v>21</v>
      </c>
      <c r="J154" s="12">
        <v>1230</v>
      </c>
      <c r="K154" s="13">
        <f t="shared" si="2"/>
        <v>53.478260869565219</v>
      </c>
    </row>
    <row r="155" spans="1:11" x14ac:dyDescent="0.25">
      <c r="A155" s="8">
        <v>45445</v>
      </c>
      <c r="B155" s="9" t="s">
        <v>32</v>
      </c>
      <c r="C155" s="9" t="s">
        <v>19</v>
      </c>
      <c r="D155" s="9" t="s">
        <v>20</v>
      </c>
      <c r="E155" s="9">
        <v>27</v>
      </c>
      <c r="F155" s="9">
        <v>15</v>
      </c>
      <c r="G155" s="9">
        <v>5235</v>
      </c>
      <c r="H155" s="9">
        <v>2598</v>
      </c>
      <c r="I155" s="9" t="s">
        <v>14</v>
      </c>
      <c r="J155" s="9">
        <v>2637</v>
      </c>
      <c r="K155" s="10">
        <f t="shared" si="2"/>
        <v>175.8</v>
      </c>
    </row>
    <row r="156" spans="1:11" x14ac:dyDescent="0.25">
      <c r="A156" s="11">
        <v>45446</v>
      </c>
      <c r="B156" s="12" t="s">
        <v>32</v>
      </c>
      <c r="C156" s="12" t="s">
        <v>22</v>
      </c>
      <c r="D156" s="12" t="s">
        <v>18</v>
      </c>
      <c r="E156" s="12">
        <v>43</v>
      </c>
      <c r="F156" s="12">
        <v>19</v>
      </c>
      <c r="G156" s="12">
        <v>7391</v>
      </c>
      <c r="H156" s="12">
        <v>2587</v>
      </c>
      <c r="I156" s="12" t="s">
        <v>16</v>
      </c>
      <c r="J156" s="12">
        <v>4804</v>
      </c>
      <c r="K156" s="13">
        <f t="shared" si="2"/>
        <v>252.84210526315789</v>
      </c>
    </row>
    <row r="157" spans="1:11" x14ac:dyDescent="0.25">
      <c r="A157" s="8">
        <v>45447</v>
      </c>
      <c r="B157" s="9" t="s">
        <v>32</v>
      </c>
      <c r="C157" s="9" t="s">
        <v>22</v>
      </c>
      <c r="D157" s="9" t="s">
        <v>18</v>
      </c>
      <c r="E157" s="9">
        <v>86</v>
      </c>
      <c r="F157" s="9">
        <v>44</v>
      </c>
      <c r="G157" s="9">
        <v>21604</v>
      </c>
      <c r="H157" s="9">
        <v>9856</v>
      </c>
      <c r="I157" s="9" t="s">
        <v>21</v>
      </c>
      <c r="J157" s="9">
        <v>11748</v>
      </c>
      <c r="K157" s="10">
        <f t="shared" si="2"/>
        <v>267</v>
      </c>
    </row>
    <row r="158" spans="1:11" x14ac:dyDescent="0.25">
      <c r="A158" s="11">
        <v>45448</v>
      </c>
      <c r="B158" s="12" t="s">
        <v>32</v>
      </c>
      <c r="C158" s="12" t="s">
        <v>24</v>
      </c>
      <c r="D158" s="12" t="s">
        <v>18</v>
      </c>
      <c r="E158" s="12">
        <v>59</v>
      </c>
      <c r="F158" s="12">
        <v>14</v>
      </c>
      <c r="G158" s="12">
        <v>4228</v>
      </c>
      <c r="H158" s="12">
        <v>1487</v>
      </c>
      <c r="I158" s="12" t="s">
        <v>14</v>
      </c>
      <c r="J158" s="12">
        <v>2741</v>
      </c>
      <c r="K158" s="13">
        <f t="shared" si="2"/>
        <v>195.78571428571428</v>
      </c>
    </row>
    <row r="159" spans="1:11" x14ac:dyDescent="0.25">
      <c r="A159" s="8">
        <v>45449</v>
      </c>
      <c r="B159" s="9" t="s">
        <v>32</v>
      </c>
      <c r="C159" s="9" t="s">
        <v>22</v>
      </c>
      <c r="D159" s="9" t="s">
        <v>18</v>
      </c>
      <c r="E159" s="9">
        <v>87</v>
      </c>
      <c r="F159" s="9">
        <v>73</v>
      </c>
      <c r="G159" s="9">
        <v>23725</v>
      </c>
      <c r="H159" s="9">
        <v>8606</v>
      </c>
      <c r="I159" s="9" t="s">
        <v>27</v>
      </c>
      <c r="J159" s="9">
        <v>15119</v>
      </c>
      <c r="K159" s="10">
        <f t="shared" si="2"/>
        <v>207.10958904109589</v>
      </c>
    </row>
    <row r="160" spans="1:11" x14ac:dyDescent="0.25">
      <c r="A160" s="11">
        <v>45450</v>
      </c>
      <c r="B160" s="12" t="s">
        <v>32</v>
      </c>
      <c r="C160" s="12" t="s">
        <v>17</v>
      </c>
      <c r="D160" s="12" t="s">
        <v>18</v>
      </c>
      <c r="E160" s="12">
        <v>119</v>
      </c>
      <c r="F160" s="12">
        <v>47</v>
      </c>
      <c r="G160" s="12">
        <v>9729</v>
      </c>
      <c r="H160" s="12">
        <v>4782</v>
      </c>
      <c r="I160" s="12" t="s">
        <v>27</v>
      </c>
      <c r="J160" s="12">
        <v>4947</v>
      </c>
      <c r="K160" s="13">
        <f t="shared" si="2"/>
        <v>105.25531914893617</v>
      </c>
    </row>
    <row r="161" spans="1:11" x14ac:dyDescent="0.25">
      <c r="A161" s="8">
        <v>45451</v>
      </c>
      <c r="B161" s="9" t="s">
        <v>32</v>
      </c>
      <c r="C161" s="9" t="s">
        <v>24</v>
      </c>
      <c r="D161" s="9" t="s">
        <v>18</v>
      </c>
      <c r="E161" s="9">
        <v>70</v>
      </c>
      <c r="F161" s="9">
        <v>61</v>
      </c>
      <c r="G161" s="9">
        <v>27145</v>
      </c>
      <c r="H161" s="9">
        <v>13241</v>
      </c>
      <c r="I161" s="9" t="s">
        <v>14</v>
      </c>
      <c r="J161" s="9">
        <v>13904</v>
      </c>
      <c r="K161" s="10">
        <f t="shared" si="2"/>
        <v>227.9344262295082</v>
      </c>
    </row>
    <row r="162" spans="1:11" x14ac:dyDescent="0.25">
      <c r="A162" s="11">
        <v>45452</v>
      </c>
      <c r="B162" s="12" t="s">
        <v>32</v>
      </c>
      <c r="C162" s="12" t="s">
        <v>12</v>
      </c>
      <c r="D162" s="12" t="s">
        <v>13</v>
      </c>
      <c r="E162" s="12">
        <v>81</v>
      </c>
      <c r="F162" s="12">
        <v>50</v>
      </c>
      <c r="G162" s="12">
        <v>8700</v>
      </c>
      <c r="H162" s="12">
        <v>3076</v>
      </c>
      <c r="I162" s="12" t="s">
        <v>23</v>
      </c>
      <c r="J162" s="12">
        <v>5624</v>
      </c>
      <c r="K162" s="13">
        <f t="shared" si="2"/>
        <v>112.48</v>
      </c>
    </row>
    <row r="163" spans="1:11" x14ac:dyDescent="0.25">
      <c r="A163" s="8">
        <v>45453</v>
      </c>
      <c r="B163" s="9" t="s">
        <v>32</v>
      </c>
      <c r="C163" s="9" t="s">
        <v>22</v>
      </c>
      <c r="D163" s="9" t="s">
        <v>18</v>
      </c>
      <c r="E163" s="9">
        <v>79</v>
      </c>
      <c r="F163" s="9">
        <v>58</v>
      </c>
      <c r="G163" s="9">
        <v>17748</v>
      </c>
      <c r="H163" s="9">
        <v>6089</v>
      </c>
      <c r="I163" s="9" t="s">
        <v>14</v>
      </c>
      <c r="J163" s="9">
        <v>11659</v>
      </c>
      <c r="K163" s="10">
        <f t="shared" si="2"/>
        <v>201.01724137931035</v>
      </c>
    </row>
    <row r="164" spans="1:11" x14ac:dyDescent="0.25">
      <c r="A164" s="11">
        <v>45454</v>
      </c>
      <c r="B164" s="12" t="s">
        <v>32</v>
      </c>
      <c r="C164" s="12" t="s">
        <v>25</v>
      </c>
      <c r="D164" s="12" t="s">
        <v>26</v>
      </c>
      <c r="E164" s="12">
        <v>44</v>
      </c>
      <c r="F164" s="12">
        <v>39</v>
      </c>
      <c r="G164" s="12">
        <v>17667</v>
      </c>
      <c r="H164" s="12">
        <v>5083</v>
      </c>
      <c r="I164" s="12" t="s">
        <v>23</v>
      </c>
      <c r="J164" s="12">
        <v>12584</v>
      </c>
      <c r="K164" s="13">
        <f t="shared" si="2"/>
        <v>322.66666666666669</v>
      </c>
    </row>
    <row r="165" spans="1:11" x14ac:dyDescent="0.25">
      <c r="A165" s="8">
        <v>45455</v>
      </c>
      <c r="B165" s="9" t="s">
        <v>32</v>
      </c>
      <c r="C165" s="9" t="s">
        <v>15</v>
      </c>
      <c r="D165" s="9" t="s">
        <v>13</v>
      </c>
      <c r="E165" s="9">
        <v>27</v>
      </c>
      <c r="F165" s="9">
        <v>17</v>
      </c>
      <c r="G165" s="9">
        <v>4301</v>
      </c>
      <c r="H165" s="9">
        <v>1484</v>
      </c>
      <c r="I165" s="9" t="s">
        <v>16</v>
      </c>
      <c r="J165" s="9">
        <v>2817</v>
      </c>
      <c r="K165" s="10">
        <f t="shared" si="2"/>
        <v>165.70588235294119</v>
      </c>
    </row>
    <row r="166" spans="1:11" x14ac:dyDescent="0.25">
      <c r="A166" s="11">
        <v>45456</v>
      </c>
      <c r="B166" s="12" t="s">
        <v>32</v>
      </c>
      <c r="C166" s="12" t="s">
        <v>12</v>
      </c>
      <c r="D166" s="12" t="s">
        <v>13</v>
      </c>
      <c r="E166" s="12">
        <v>69</v>
      </c>
      <c r="F166" s="12">
        <v>63</v>
      </c>
      <c r="G166" s="12">
        <v>13797</v>
      </c>
      <c r="H166" s="12">
        <v>3798</v>
      </c>
      <c r="I166" s="12" t="s">
        <v>23</v>
      </c>
      <c r="J166" s="12">
        <v>9999</v>
      </c>
      <c r="K166" s="13">
        <f t="shared" si="2"/>
        <v>158.71428571428572</v>
      </c>
    </row>
    <row r="167" spans="1:11" x14ac:dyDescent="0.25">
      <c r="A167" s="8">
        <v>45457</v>
      </c>
      <c r="B167" s="9" t="s">
        <v>32</v>
      </c>
      <c r="C167" s="9" t="s">
        <v>15</v>
      </c>
      <c r="D167" s="9" t="s">
        <v>13</v>
      </c>
      <c r="E167" s="9">
        <v>94</v>
      </c>
      <c r="F167" s="9">
        <v>47</v>
      </c>
      <c r="G167" s="9">
        <v>15040</v>
      </c>
      <c r="H167" s="9">
        <v>6695</v>
      </c>
      <c r="I167" s="9" t="s">
        <v>14</v>
      </c>
      <c r="J167" s="9">
        <v>8345</v>
      </c>
      <c r="K167" s="10">
        <f t="shared" si="2"/>
        <v>177.55319148936169</v>
      </c>
    </row>
    <row r="168" spans="1:11" x14ac:dyDescent="0.25">
      <c r="A168" s="11">
        <v>45458</v>
      </c>
      <c r="B168" s="12" t="s">
        <v>32</v>
      </c>
      <c r="C168" s="12" t="s">
        <v>12</v>
      </c>
      <c r="D168" s="12" t="s">
        <v>13</v>
      </c>
      <c r="E168" s="12">
        <v>78</v>
      </c>
      <c r="F168" s="12">
        <v>55</v>
      </c>
      <c r="G168" s="12">
        <v>18040</v>
      </c>
      <c r="H168" s="12">
        <v>7534</v>
      </c>
      <c r="I168" s="12" t="s">
        <v>27</v>
      </c>
      <c r="J168" s="12">
        <v>10506</v>
      </c>
      <c r="K168" s="13">
        <f t="shared" si="2"/>
        <v>191.01818181818183</v>
      </c>
    </row>
    <row r="169" spans="1:11" x14ac:dyDescent="0.25">
      <c r="A169" s="8">
        <v>45459</v>
      </c>
      <c r="B169" s="9" t="s">
        <v>32</v>
      </c>
      <c r="C169" s="9" t="s">
        <v>22</v>
      </c>
      <c r="D169" s="9" t="s">
        <v>18</v>
      </c>
      <c r="E169" s="9">
        <v>120</v>
      </c>
      <c r="F169" s="9">
        <v>35</v>
      </c>
      <c r="G169" s="9">
        <v>9415</v>
      </c>
      <c r="H169" s="9">
        <v>4074</v>
      </c>
      <c r="I169" s="9" t="s">
        <v>27</v>
      </c>
      <c r="J169" s="9">
        <v>5341</v>
      </c>
      <c r="K169" s="10">
        <f t="shared" si="2"/>
        <v>152.6</v>
      </c>
    </row>
    <row r="170" spans="1:11" x14ac:dyDescent="0.25">
      <c r="A170" s="11">
        <v>45460</v>
      </c>
      <c r="B170" s="12" t="s">
        <v>32</v>
      </c>
      <c r="C170" s="12" t="s">
        <v>24</v>
      </c>
      <c r="D170" s="12" t="s">
        <v>18</v>
      </c>
      <c r="E170" s="12">
        <v>48</v>
      </c>
      <c r="F170" s="12">
        <v>38</v>
      </c>
      <c r="G170" s="12">
        <v>6194</v>
      </c>
      <c r="H170" s="12">
        <v>2668</v>
      </c>
      <c r="I170" s="12" t="s">
        <v>14</v>
      </c>
      <c r="J170" s="12">
        <v>3526</v>
      </c>
      <c r="K170" s="13">
        <f t="shared" si="2"/>
        <v>92.78947368421052</v>
      </c>
    </row>
    <row r="171" spans="1:11" x14ac:dyDescent="0.25">
      <c r="A171" s="8">
        <v>45461</v>
      </c>
      <c r="B171" s="9" t="s">
        <v>32</v>
      </c>
      <c r="C171" s="9" t="s">
        <v>25</v>
      </c>
      <c r="D171" s="9" t="s">
        <v>26</v>
      </c>
      <c r="E171" s="9">
        <v>90</v>
      </c>
      <c r="F171" s="9">
        <v>26</v>
      </c>
      <c r="G171" s="9">
        <v>6760</v>
      </c>
      <c r="H171" s="9">
        <v>2998</v>
      </c>
      <c r="I171" s="9" t="s">
        <v>16</v>
      </c>
      <c r="J171" s="9">
        <v>3762</v>
      </c>
      <c r="K171" s="10">
        <f t="shared" si="2"/>
        <v>144.69230769230768</v>
      </c>
    </row>
    <row r="172" spans="1:11" x14ac:dyDescent="0.25">
      <c r="A172" s="11">
        <v>45462</v>
      </c>
      <c r="B172" s="12" t="s">
        <v>32</v>
      </c>
      <c r="C172" s="12" t="s">
        <v>17</v>
      </c>
      <c r="D172" s="12" t="s">
        <v>18</v>
      </c>
      <c r="E172" s="12">
        <v>77</v>
      </c>
      <c r="F172" s="12">
        <v>48</v>
      </c>
      <c r="G172" s="12">
        <v>20976</v>
      </c>
      <c r="H172" s="12">
        <v>4737</v>
      </c>
      <c r="I172" s="12" t="s">
        <v>21</v>
      </c>
      <c r="J172" s="12">
        <v>16239</v>
      </c>
      <c r="K172" s="13">
        <f t="shared" si="2"/>
        <v>338.3125</v>
      </c>
    </row>
    <row r="173" spans="1:11" x14ac:dyDescent="0.25">
      <c r="A173" s="8">
        <v>45463</v>
      </c>
      <c r="B173" s="9" t="s">
        <v>32</v>
      </c>
      <c r="C173" s="9" t="s">
        <v>17</v>
      </c>
      <c r="D173" s="9" t="s">
        <v>18</v>
      </c>
      <c r="E173" s="9">
        <v>101</v>
      </c>
      <c r="F173" s="9">
        <v>52</v>
      </c>
      <c r="G173" s="9">
        <v>21372</v>
      </c>
      <c r="H173" s="9">
        <v>5836</v>
      </c>
      <c r="I173" s="9" t="s">
        <v>14</v>
      </c>
      <c r="J173" s="9">
        <v>15536</v>
      </c>
      <c r="K173" s="10">
        <f t="shared" si="2"/>
        <v>298.76923076923077</v>
      </c>
    </row>
    <row r="174" spans="1:11" x14ac:dyDescent="0.25">
      <c r="A174" s="11">
        <v>45464</v>
      </c>
      <c r="B174" s="12" t="s">
        <v>32</v>
      </c>
      <c r="C174" s="12" t="s">
        <v>22</v>
      </c>
      <c r="D174" s="12" t="s">
        <v>18</v>
      </c>
      <c r="E174" s="12">
        <v>85</v>
      </c>
      <c r="F174" s="12">
        <v>32</v>
      </c>
      <c r="G174" s="12">
        <v>3392</v>
      </c>
      <c r="H174" s="12">
        <v>1467</v>
      </c>
      <c r="I174" s="12" t="s">
        <v>23</v>
      </c>
      <c r="J174" s="12">
        <v>1925</v>
      </c>
      <c r="K174" s="13">
        <f t="shared" si="2"/>
        <v>60.15625</v>
      </c>
    </row>
    <row r="175" spans="1:11" x14ac:dyDescent="0.25">
      <c r="A175" s="8">
        <v>45465</v>
      </c>
      <c r="B175" s="9" t="s">
        <v>32</v>
      </c>
      <c r="C175" s="9" t="s">
        <v>12</v>
      </c>
      <c r="D175" s="9" t="s">
        <v>13</v>
      </c>
      <c r="E175" s="9">
        <v>40</v>
      </c>
      <c r="F175" s="9">
        <v>30</v>
      </c>
      <c r="G175" s="9">
        <v>9390</v>
      </c>
      <c r="H175" s="9">
        <v>2838</v>
      </c>
      <c r="I175" s="9" t="s">
        <v>23</v>
      </c>
      <c r="J175" s="9">
        <v>6552</v>
      </c>
      <c r="K175" s="10">
        <f t="shared" si="2"/>
        <v>218.4</v>
      </c>
    </row>
    <row r="176" spans="1:11" x14ac:dyDescent="0.25">
      <c r="A176" s="11">
        <v>45466</v>
      </c>
      <c r="B176" s="12" t="s">
        <v>32</v>
      </c>
      <c r="C176" s="12" t="s">
        <v>17</v>
      </c>
      <c r="D176" s="12" t="s">
        <v>18</v>
      </c>
      <c r="E176" s="12">
        <v>77</v>
      </c>
      <c r="F176" s="12">
        <v>53</v>
      </c>
      <c r="G176" s="12">
        <v>10335</v>
      </c>
      <c r="H176" s="12">
        <v>2527</v>
      </c>
      <c r="I176" s="12" t="s">
        <v>23</v>
      </c>
      <c r="J176" s="12">
        <v>7808</v>
      </c>
      <c r="K176" s="13">
        <f t="shared" si="2"/>
        <v>147.32075471698113</v>
      </c>
    </row>
    <row r="177" spans="1:11" x14ac:dyDescent="0.25">
      <c r="A177" s="8">
        <v>45467</v>
      </c>
      <c r="B177" s="9" t="s">
        <v>32</v>
      </c>
      <c r="C177" s="9" t="s">
        <v>19</v>
      </c>
      <c r="D177" s="9" t="s">
        <v>20</v>
      </c>
      <c r="E177" s="9">
        <v>27</v>
      </c>
      <c r="F177" s="9">
        <v>20</v>
      </c>
      <c r="G177" s="9">
        <v>9360</v>
      </c>
      <c r="H177" s="9">
        <v>2659</v>
      </c>
      <c r="I177" s="9" t="s">
        <v>21</v>
      </c>
      <c r="J177" s="9">
        <v>6701</v>
      </c>
      <c r="K177" s="10">
        <f t="shared" si="2"/>
        <v>335.05</v>
      </c>
    </row>
    <row r="178" spans="1:11" x14ac:dyDescent="0.25">
      <c r="A178" s="11">
        <v>45468</v>
      </c>
      <c r="B178" s="12" t="s">
        <v>32</v>
      </c>
      <c r="C178" s="12" t="s">
        <v>22</v>
      </c>
      <c r="D178" s="12" t="s">
        <v>18</v>
      </c>
      <c r="E178" s="12">
        <v>54</v>
      </c>
      <c r="F178" s="12">
        <v>36</v>
      </c>
      <c r="G178" s="12">
        <v>16884</v>
      </c>
      <c r="H178" s="12">
        <v>5664</v>
      </c>
      <c r="I178" s="12" t="s">
        <v>14</v>
      </c>
      <c r="J178" s="12">
        <v>11220</v>
      </c>
      <c r="K178" s="13">
        <f t="shared" si="2"/>
        <v>311.66666666666669</v>
      </c>
    </row>
    <row r="179" spans="1:11" x14ac:dyDescent="0.25">
      <c r="A179" s="8">
        <v>45469</v>
      </c>
      <c r="B179" s="9" t="s">
        <v>32</v>
      </c>
      <c r="C179" s="9" t="s">
        <v>12</v>
      </c>
      <c r="D179" s="9" t="s">
        <v>13</v>
      </c>
      <c r="E179" s="9">
        <v>49</v>
      </c>
      <c r="F179" s="9">
        <v>36</v>
      </c>
      <c r="G179" s="9">
        <v>8820</v>
      </c>
      <c r="H179" s="9">
        <v>3801</v>
      </c>
      <c r="I179" s="9" t="s">
        <v>16</v>
      </c>
      <c r="J179" s="9">
        <v>5019</v>
      </c>
      <c r="K179" s="10">
        <f t="shared" si="2"/>
        <v>139.41666666666666</v>
      </c>
    </row>
    <row r="180" spans="1:11" x14ac:dyDescent="0.25">
      <c r="A180" s="11">
        <v>45470</v>
      </c>
      <c r="B180" s="12" t="s">
        <v>32</v>
      </c>
      <c r="C180" s="12" t="s">
        <v>25</v>
      </c>
      <c r="D180" s="12" t="s">
        <v>26</v>
      </c>
      <c r="E180" s="12">
        <v>53</v>
      </c>
      <c r="F180" s="12">
        <v>43</v>
      </c>
      <c r="G180" s="12">
        <v>8815</v>
      </c>
      <c r="H180" s="12">
        <v>3949</v>
      </c>
      <c r="I180" s="12" t="s">
        <v>27</v>
      </c>
      <c r="J180" s="12">
        <v>4866</v>
      </c>
      <c r="K180" s="13">
        <f t="shared" si="2"/>
        <v>113.16279069767442</v>
      </c>
    </row>
    <row r="181" spans="1:11" x14ac:dyDescent="0.25">
      <c r="A181" s="8">
        <v>45471</v>
      </c>
      <c r="B181" s="9" t="s">
        <v>32</v>
      </c>
      <c r="C181" s="9" t="s">
        <v>22</v>
      </c>
      <c r="D181" s="9" t="s">
        <v>18</v>
      </c>
      <c r="E181" s="9">
        <v>29</v>
      </c>
      <c r="F181" s="9">
        <v>28</v>
      </c>
      <c r="G181" s="9">
        <v>10444</v>
      </c>
      <c r="H181" s="9">
        <v>4263</v>
      </c>
      <c r="I181" s="9" t="s">
        <v>27</v>
      </c>
      <c r="J181" s="9">
        <v>6181</v>
      </c>
      <c r="K181" s="10">
        <f t="shared" si="2"/>
        <v>220.75</v>
      </c>
    </row>
    <row r="182" spans="1:11" x14ac:dyDescent="0.25">
      <c r="A182" s="11">
        <v>45472</v>
      </c>
      <c r="B182" s="12" t="s">
        <v>32</v>
      </c>
      <c r="C182" s="12" t="s">
        <v>24</v>
      </c>
      <c r="D182" s="12" t="s">
        <v>18</v>
      </c>
      <c r="E182" s="12">
        <v>38</v>
      </c>
      <c r="F182" s="12">
        <v>36</v>
      </c>
      <c r="G182" s="12">
        <v>5868</v>
      </c>
      <c r="H182" s="12">
        <v>2778</v>
      </c>
      <c r="I182" s="12" t="s">
        <v>23</v>
      </c>
      <c r="J182" s="12">
        <v>3090</v>
      </c>
      <c r="K182" s="13">
        <f t="shared" si="2"/>
        <v>85.833333333333329</v>
      </c>
    </row>
    <row r="183" spans="1:11" x14ac:dyDescent="0.25">
      <c r="A183" s="8">
        <v>45473</v>
      </c>
      <c r="B183" s="9" t="s">
        <v>32</v>
      </c>
      <c r="C183" s="9" t="s">
        <v>17</v>
      </c>
      <c r="D183" s="9" t="s">
        <v>18</v>
      </c>
      <c r="E183" s="9">
        <v>38</v>
      </c>
      <c r="F183" s="9">
        <v>20</v>
      </c>
      <c r="G183" s="9">
        <v>9840</v>
      </c>
      <c r="H183" s="9">
        <v>4124</v>
      </c>
      <c r="I183" s="9" t="s">
        <v>27</v>
      </c>
      <c r="J183" s="9">
        <v>5716</v>
      </c>
      <c r="K183" s="10">
        <f t="shared" si="2"/>
        <v>285.8</v>
      </c>
    </row>
    <row r="184" spans="1:11" x14ac:dyDescent="0.25">
      <c r="A184" s="11">
        <v>45474</v>
      </c>
      <c r="B184" s="12" t="s">
        <v>33</v>
      </c>
      <c r="C184" s="12" t="s">
        <v>25</v>
      </c>
      <c r="D184" s="12" t="s">
        <v>26</v>
      </c>
      <c r="E184" s="12">
        <v>61</v>
      </c>
      <c r="F184" s="12">
        <v>24</v>
      </c>
      <c r="G184" s="12">
        <v>9648</v>
      </c>
      <c r="H184" s="12">
        <v>2267</v>
      </c>
      <c r="I184" s="12" t="s">
        <v>23</v>
      </c>
      <c r="J184" s="12">
        <v>7381</v>
      </c>
      <c r="K184" s="13">
        <f t="shared" si="2"/>
        <v>307.54166666666669</v>
      </c>
    </row>
    <row r="185" spans="1:11" x14ac:dyDescent="0.25">
      <c r="A185" s="8">
        <v>45475</v>
      </c>
      <c r="B185" s="9" t="s">
        <v>33</v>
      </c>
      <c r="C185" s="9" t="s">
        <v>15</v>
      </c>
      <c r="D185" s="9" t="s">
        <v>13</v>
      </c>
      <c r="E185" s="9">
        <v>120</v>
      </c>
      <c r="F185" s="9">
        <v>32</v>
      </c>
      <c r="G185" s="9">
        <v>13984</v>
      </c>
      <c r="H185" s="9">
        <v>4093</v>
      </c>
      <c r="I185" s="9" t="s">
        <v>23</v>
      </c>
      <c r="J185" s="9">
        <v>9891</v>
      </c>
      <c r="K185" s="10">
        <f t="shared" si="2"/>
        <v>309.09375</v>
      </c>
    </row>
    <row r="186" spans="1:11" x14ac:dyDescent="0.25">
      <c r="A186" s="11">
        <v>45476</v>
      </c>
      <c r="B186" s="12" t="s">
        <v>33</v>
      </c>
      <c r="C186" s="12" t="s">
        <v>17</v>
      </c>
      <c r="D186" s="12" t="s">
        <v>18</v>
      </c>
      <c r="E186" s="12">
        <v>109</v>
      </c>
      <c r="F186" s="12">
        <v>14</v>
      </c>
      <c r="G186" s="12">
        <v>5894</v>
      </c>
      <c r="H186" s="12">
        <v>2201</v>
      </c>
      <c r="I186" s="12" t="s">
        <v>27</v>
      </c>
      <c r="J186" s="12">
        <v>3693</v>
      </c>
      <c r="K186" s="13">
        <f t="shared" si="2"/>
        <v>263.78571428571428</v>
      </c>
    </row>
    <row r="187" spans="1:11" x14ac:dyDescent="0.25">
      <c r="A187" s="8">
        <v>45477</v>
      </c>
      <c r="B187" s="9" t="s">
        <v>33</v>
      </c>
      <c r="C187" s="9" t="s">
        <v>17</v>
      </c>
      <c r="D187" s="9" t="s">
        <v>18</v>
      </c>
      <c r="E187" s="9">
        <v>44</v>
      </c>
      <c r="F187" s="9">
        <v>27</v>
      </c>
      <c r="G187" s="9">
        <v>4131</v>
      </c>
      <c r="H187" s="9">
        <v>1531</v>
      </c>
      <c r="I187" s="9" t="s">
        <v>14</v>
      </c>
      <c r="J187" s="9">
        <v>2600</v>
      </c>
      <c r="K187" s="10">
        <f t="shared" si="2"/>
        <v>96.296296296296291</v>
      </c>
    </row>
    <row r="188" spans="1:11" x14ac:dyDescent="0.25">
      <c r="A188" s="11">
        <v>45478</v>
      </c>
      <c r="B188" s="12" t="s">
        <v>33</v>
      </c>
      <c r="C188" s="12" t="s">
        <v>12</v>
      </c>
      <c r="D188" s="12" t="s">
        <v>13</v>
      </c>
      <c r="E188" s="12">
        <v>111</v>
      </c>
      <c r="F188" s="12">
        <v>56</v>
      </c>
      <c r="G188" s="12">
        <v>14280</v>
      </c>
      <c r="H188" s="12">
        <v>5156</v>
      </c>
      <c r="I188" s="12" t="s">
        <v>23</v>
      </c>
      <c r="J188" s="12">
        <v>9124</v>
      </c>
      <c r="K188" s="13">
        <f t="shared" si="2"/>
        <v>162.92857142857142</v>
      </c>
    </row>
    <row r="189" spans="1:11" x14ac:dyDescent="0.25">
      <c r="A189" s="8">
        <v>45479</v>
      </c>
      <c r="B189" s="9" t="s">
        <v>33</v>
      </c>
      <c r="C189" s="9" t="s">
        <v>17</v>
      </c>
      <c r="D189" s="9" t="s">
        <v>18</v>
      </c>
      <c r="E189" s="9">
        <v>27</v>
      </c>
      <c r="F189" s="9">
        <v>17</v>
      </c>
      <c r="G189" s="9">
        <v>4947</v>
      </c>
      <c r="H189" s="9">
        <v>1109</v>
      </c>
      <c r="I189" s="9" t="s">
        <v>14</v>
      </c>
      <c r="J189" s="9">
        <v>3838</v>
      </c>
      <c r="K189" s="10">
        <f t="shared" si="2"/>
        <v>225.76470588235293</v>
      </c>
    </row>
    <row r="190" spans="1:11" x14ac:dyDescent="0.25">
      <c r="A190" s="11">
        <v>45480</v>
      </c>
      <c r="B190" s="12" t="s">
        <v>33</v>
      </c>
      <c r="C190" s="12" t="s">
        <v>12</v>
      </c>
      <c r="D190" s="12" t="s">
        <v>13</v>
      </c>
      <c r="E190" s="12">
        <v>23</v>
      </c>
      <c r="F190" s="12">
        <v>14</v>
      </c>
      <c r="G190" s="12">
        <v>3612</v>
      </c>
      <c r="H190" s="12">
        <v>1467</v>
      </c>
      <c r="I190" s="12" t="s">
        <v>27</v>
      </c>
      <c r="J190" s="12">
        <v>2145</v>
      </c>
      <c r="K190" s="13">
        <f t="shared" si="2"/>
        <v>153.21428571428572</v>
      </c>
    </row>
    <row r="191" spans="1:11" x14ac:dyDescent="0.25">
      <c r="A191" s="8">
        <v>45481</v>
      </c>
      <c r="B191" s="9" t="s">
        <v>33</v>
      </c>
      <c r="C191" s="9" t="s">
        <v>24</v>
      </c>
      <c r="D191" s="9" t="s">
        <v>18</v>
      </c>
      <c r="E191" s="9">
        <v>100</v>
      </c>
      <c r="F191" s="9">
        <v>26</v>
      </c>
      <c r="G191" s="9">
        <v>3354</v>
      </c>
      <c r="H191" s="9">
        <v>1551</v>
      </c>
      <c r="I191" s="9" t="s">
        <v>14</v>
      </c>
      <c r="J191" s="9">
        <v>1803</v>
      </c>
      <c r="K191" s="10">
        <f t="shared" si="2"/>
        <v>69.34615384615384</v>
      </c>
    </row>
    <row r="192" spans="1:11" x14ac:dyDescent="0.25">
      <c r="A192" s="11">
        <v>45482</v>
      </c>
      <c r="B192" s="12" t="s">
        <v>33</v>
      </c>
      <c r="C192" s="12" t="s">
        <v>25</v>
      </c>
      <c r="D192" s="12" t="s">
        <v>26</v>
      </c>
      <c r="E192" s="12">
        <v>52</v>
      </c>
      <c r="F192" s="12">
        <v>12</v>
      </c>
      <c r="G192" s="12">
        <v>4284</v>
      </c>
      <c r="H192" s="12">
        <v>2078</v>
      </c>
      <c r="I192" s="12" t="s">
        <v>23</v>
      </c>
      <c r="J192" s="12">
        <v>2206</v>
      </c>
      <c r="K192" s="13">
        <f t="shared" si="2"/>
        <v>183.83333333333334</v>
      </c>
    </row>
    <row r="193" spans="1:11" x14ac:dyDescent="0.25">
      <c r="A193" s="8">
        <v>45483</v>
      </c>
      <c r="B193" s="9" t="s">
        <v>33</v>
      </c>
      <c r="C193" s="9" t="s">
        <v>19</v>
      </c>
      <c r="D193" s="9" t="s">
        <v>20</v>
      </c>
      <c r="E193" s="9">
        <v>70</v>
      </c>
      <c r="F193" s="9">
        <v>14</v>
      </c>
      <c r="G193" s="9">
        <v>6034</v>
      </c>
      <c r="H193" s="9">
        <v>1732</v>
      </c>
      <c r="I193" s="9" t="s">
        <v>21</v>
      </c>
      <c r="J193" s="9">
        <v>4302</v>
      </c>
      <c r="K193" s="10">
        <f t="shared" si="2"/>
        <v>307.28571428571428</v>
      </c>
    </row>
    <row r="194" spans="1:11" x14ac:dyDescent="0.25">
      <c r="A194" s="11">
        <v>45484</v>
      </c>
      <c r="B194" s="12" t="s">
        <v>33</v>
      </c>
      <c r="C194" s="12" t="s">
        <v>22</v>
      </c>
      <c r="D194" s="12" t="s">
        <v>18</v>
      </c>
      <c r="E194" s="12">
        <v>91</v>
      </c>
      <c r="F194" s="12">
        <v>23</v>
      </c>
      <c r="G194" s="12">
        <v>4922</v>
      </c>
      <c r="H194" s="12">
        <v>1609</v>
      </c>
      <c r="I194" s="12" t="s">
        <v>16</v>
      </c>
      <c r="J194" s="12">
        <v>3313</v>
      </c>
      <c r="K194" s="13">
        <f t="shared" ref="K194:K257" si="3">IF(F194=0,0,J194/F194)</f>
        <v>144.04347826086956</v>
      </c>
    </row>
    <row r="195" spans="1:11" x14ac:dyDescent="0.25">
      <c r="A195" s="8">
        <v>45485</v>
      </c>
      <c r="B195" s="9" t="s">
        <v>33</v>
      </c>
      <c r="C195" s="9" t="s">
        <v>12</v>
      </c>
      <c r="D195" s="9" t="s">
        <v>13</v>
      </c>
      <c r="E195" s="9">
        <v>120</v>
      </c>
      <c r="F195" s="9">
        <v>101</v>
      </c>
      <c r="G195" s="9">
        <v>17675</v>
      </c>
      <c r="H195" s="9">
        <v>6528</v>
      </c>
      <c r="I195" s="9" t="s">
        <v>14</v>
      </c>
      <c r="J195" s="9">
        <v>11147</v>
      </c>
      <c r="K195" s="10">
        <f t="shared" si="3"/>
        <v>110.36633663366337</v>
      </c>
    </row>
    <row r="196" spans="1:11" x14ac:dyDescent="0.25">
      <c r="A196" s="11">
        <v>45486</v>
      </c>
      <c r="B196" s="12" t="s">
        <v>33</v>
      </c>
      <c r="C196" s="12" t="s">
        <v>22</v>
      </c>
      <c r="D196" s="12" t="s">
        <v>18</v>
      </c>
      <c r="E196" s="12">
        <v>91</v>
      </c>
      <c r="F196" s="12">
        <v>87</v>
      </c>
      <c r="G196" s="12">
        <v>16704</v>
      </c>
      <c r="H196" s="12">
        <v>4781</v>
      </c>
      <c r="I196" s="12" t="s">
        <v>16</v>
      </c>
      <c r="J196" s="12">
        <v>11923</v>
      </c>
      <c r="K196" s="13">
        <f t="shared" si="3"/>
        <v>137.04597701149424</v>
      </c>
    </row>
    <row r="197" spans="1:11" x14ac:dyDescent="0.25">
      <c r="A197" s="8">
        <v>45487</v>
      </c>
      <c r="B197" s="9" t="s">
        <v>33</v>
      </c>
      <c r="C197" s="9" t="s">
        <v>15</v>
      </c>
      <c r="D197" s="9" t="s">
        <v>13</v>
      </c>
      <c r="E197" s="9">
        <v>63</v>
      </c>
      <c r="F197" s="9">
        <v>14</v>
      </c>
      <c r="G197" s="9">
        <v>5446</v>
      </c>
      <c r="H197" s="9">
        <v>1865</v>
      </c>
      <c r="I197" s="9" t="s">
        <v>21</v>
      </c>
      <c r="J197" s="9">
        <v>3581</v>
      </c>
      <c r="K197" s="10">
        <f t="shared" si="3"/>
        <v>255.78571428571428</v>
      </c>
    </row>
    <row r="198" spans="1:11" x14ac:dyDescent="0.25">
      <c r="A198" s="11">
        <v>45488</v>
      </c>
      <c r="B198" s="12" t="s">
        <v>33</v>
      </c>
      <c r="C198" s="12" t="s">
        <v>24</v>
      </c>
      <c r="D198" s="12" t="s">
        <v>18</v>
      </c>
      <c r="E198" s="12">
        <v>56</v>
      </c>
      <c r="F198" s="12">
        <v>37</v>
      </c>
      <c r="G198" s="12">
        <v>9028</v>
      </c>
      <c r="H198" s="12">
        <v>3683</v>
      </c>
      <c r="I198" s="12" t="s">
        <v>23</v>
      </c>
      <c r="J198" s="12">
        <v>5345</v>
      </c>
      <c r="K198" s="13">
        <f t="shared" si="3"/>
        <v>144.45945945945945</v>
      </c>
    </row>
    <row r="199" spans="1:11" x14ac:dyDescent="0.25">
      <c r="A199" s="8">
        <v>45489</v>
      </c>
      <c r="B199" s="9" t="s">
        <v>33</v>
      </c>
      <c r="C199" s="9" t="s">
        <v>15</v>
      </c>
      <c r="D199" s="9" t="s">
        <v>13</v>
      </c>
      <c r="E199" s="9">
        <v>85</v>
      </c>
      <c r="F199" s="9">
        <v>78</v>
      </c>
      <c r="G199" s="9">
        <v>31746</v>
      </c>
      <c r="H199" s="9">
        <v>15099</v>
      </c>
      <c r="I199" s="9" t="s">
        <v>16</v>
      </c>
      <c r="J199" s="9">
        <v>16647</v>
      </c>
      <c r="K199" s="10">
        <f t="shared" si="3"/>
        <v>213.42307692307693</v>
      </c>
    </row>
    <row r="200" spans="1:11" x14ac:dyDescent="0.25">
      <c r="A200" s="11">
        <v>45490</v>
      </c>
      <c r="B200" s="12" t="s">
        <v>33</v>
      </c>
      <c r="C200" s="12" t="s">
        <v>24</v>
      </c>
      <c r="D200" s="12" t="s">
        <v>18</v>
      </c>
      <c r="E200" s="12">
        <v>77</v>
      </c>
      <c r="F200" s="12">
        <v>75</v>
      </c>
      <c r="G200" s="12">
        <v>34950</v>
      </c>
      <c r="H200" s="12">
        <v>10035</v>
      </c>
      <c r="I200" s="12" t="s">
        <v>14</v>
      </c>
      <c r="J200" s="12">
        <v>24915</v>
      </c>
      <c r="K200" s="13">
        <f t="shared" si="3"/>
        <v>332.2</v>
      </c>
    </row>
    <row r="201" spans="1:11" x14ac:dyDescent="0.25">
      <c r="A201" s="8">
        <v>45491</v>
      </c>
      <c r="B201" s="9" t="s">
        <v>33</v>
      </c>
      <c r="C201" s="9" t="s">
        <v>17</v>
      </c>
      <c r="D201" s="9" t="s">
        <v>18</v>
      </c>
      <c r="E201" s="9">
        <v>118</v>
      </c>
      <c r="F201" s="9">
        <v>92</v>
      </c>
      <c r="G201" s="9">
        <v>25576</v>
      </c>
      <c r="H201" s="9">
        <v>10794</v>
      </c>
      <c r="I201" s="9" t="s">
        <v>27</v>
      </c>
      <c r="J201" s="9">
        <v>14782</v>
      </c>
      <c r="K201" s="10">
        <f t="shared" si="3"/>
        <v>160.67391304347825</v>
      </c>
    </row>
    <row r="202" spans="1:11" x14ac:dyDescent="0.25">
      <c r="A202" s="11">
        <v>45492</v>
      </c>
      <c r="B202" s="12" t="s">
        <v>33</v>
      </c>
      <c r="C202" s="12" t="s">
        <v>22</v>
      </c>
      <c r="D202" s="12" t="s">
        <v>18</v>
      </c>
      <c r="E202" s="12">
        <v>28</v>
      </c>
      <c r="F202" s="12">
        <v>17</v>
      </c>
      <c r="G202" s="12">
        <v>8177</v>
      </c>
      <c r="H202" s="12">
        <v>1804</v>
      </c>
      <c r="I202" s="12" t="s">
        <v>21</v>
      </c>
      <c r="J202" s="12">
        <v>6373</v>
      </c>
      <c r="K202" s="13">
        <f t="shared" si="3"/>
        <v>374.88235294117646</v>
      </c>
    </row>
    <row r="203" spans="1:11" x14ac:dyDescent="0.25">
      <c r="A203" s="8">
        <v>45493</v>
      </c>
      <c r="B203" s="9" t="s">
        <v>33</v>
      </c>
      <c r="C203" s="9" t="s">
        <v>22</v>
      </c>
      <c r="D203" s="9" t="s">
        <v>18</v>
      </c>
      <c r="E203" s="9">
        <v>50</v>
      </c>
      <c r="F203" s="9">
        <v>29</v>
      </c>
      <c r="G203" s="9">
        <v>3799</v>
      </c>
      <c r="H203" s="9">
        <v>1886</v>
      </c>
      <c r="I203" s="9" t="s">
        <v>14</v>
      </c>
      <c r="J203" s="9">
        <v>1913</v>
      </c>
      <c r="K203" s="10">
        <f t="shared" si="3"/>
        <v>65.965517241379317</v>
      </c>
    </row>
    <row r="204" spans="1:11" x14ac:dyDescent="0.25">
      <c r="A204" s="11">
        <v>45494</v>
      </c>
      <c r="B204" s="12" t="s">
        <v>33</v>
      </c>
      <c r="C204" s="12" t="s">
        <v>25</v>
      </c>
      <c r="D204" s="12" t="s">
        <v>26</v>
      </c>
      <c r="E204" s="12">
        <v>20</v>
      </c>
      <c r="F204" s="12">
        <v>17</v>
      </c>
      <c r="G204" s="12">
        <v>7327</v>
      </c>
      <c r="H204" s="12">
        <v>1761</v>
      </c>
      <c r="I204" s="12" t="s">
        <v>23</v>
      </c>
      <c r="J204" s="12">
        <v>5566</v>
      </c>
      <c r="K204" s="13">
        <f t="shared" si="3"/>
        <v>327.41176470588238</v>
      </c>
    </row>
    <row r="205" spans="1:11" x14ac:dyDescent="0.25">
      <c r="A205" s="8">
        <v>45495</v>
      </c>
      <c r="B205" s="9" t="s">
        <v>33</v>
      </c>
      <c r="C205" s="9" t="s">
        <v>19</v>
      </c>
      <c r="D205" s="9" t="s">
        <v>20</v>
      </c>
      <c r="E205" s="9">
        <v>106</v>
      </c>
      <c r="F205" s="9">
        <v>91</v>
      </c>
      <c r="G205" s="9">
        <v>27573</v>
      </c>
      <c r="H205" s="9">
        <v>7134</v>
      </c>
      <c r="I205" s="9" t="s">
        <v>21</v>
      </c>
      <c r="J205" s="9">
        <v>20439</v>
      </c>
      <c r="K205" s="10">
        <f t="shared" si="3"/>
        <v>224.60439560439559</v>
      </c>
    </row>
    <row r="206" spans="1:11" x14ac:dyDescent="0.25">
      <c r="A206" s="11">
        <v>45496</v>
      </c>
      <c r="B206" s="12" t="s">
        <v>33</v>
      </c>
      <c r="C206" s="12" t="s">
        <v>24</v>
      </c>
      <c r="D206" s="12" t="s">
        <v>18</v>
      </c>
      <c r="E206" s="12">
        <v>86</v>
      </c>
      <c r="F206" s="12">
        <v>40</v>
      </c>
      <c r="G206" s="12">
        <v>18520</v>
      </c>
      <c r="H206" s="12">
        <v>4249</v>
      </c>
      <c r="I206" s="12" t="s">
        <v>27</v>
      </c>
      <c r="J206" s="12">
        <v>14271</v>
      </c>
      <c r="K206" s="13">
        <f t="shared" si="3"/>
        <v>356.77499999999998</v>
      </c>
    </row>
    <row r="207" spans="1:11" x14ac:dyDescent="0.25">
      <c r="A207" s="8">
        <v>45497</v>
      </c>
      <c r="B207" s="9" t="s">
        <v>33</v>
      </c>
      <c r="C207" s="9" t="s">
        <v>22</v>
      </c>
      <c r="D207" s="9" t="s">
        <v>18</v>
      </c>
      <c r="E207" s="9">
        <v>20</v>
      </c>
      <c r="F207" s="9">
        <v>10</v>
      </c>
      <c r="G207" s="9">
        <v>3490</v>
      </c>
      <c r="H207" s="9">
        <v>993</v>
      </c>
      <c r="I207" s="9" t="s">
        <v>21</v>
      </c>
      <c r="J207" s="9">
        <v>2497</v>
      </c>
      <c r="K207" s="10">
        <f t="shared" si="3"/>
        <v>249.7</v>
      </c>
    </row>
    <row r="208" spans="1:11" x14ac:dyDescent="0.25">
      <c r="A208" s="11">
        <v>45498</v>
      </c>
      <c r="B208" s="12" t="s">
        <v>33</v>
      </c>
      <c r="C208" s="12" t="s">
        <v>24</v>
      </c>
      <c r="D208" s="12" t="s">
        <v>18</v>
      </c>
      <c r="E208" s="12">
        <v>47</v>
      </c>
      <c r="F208" s="12">
        <v>39</v>
      </c>
      <c r="G208" s="12">
        <v>17160</v>
      </c>
      <c r="H208" s="12">
        <v>7737</v>
      </c>
      <c r="I208" s="12" t="s">
        <v>23</v>
      </c>
      <c r="J208" s="12">
        <v>9423</v>
      </c>
      <c r="K208" s="13">
        <f t="shared" si="3"/>
        <v>241.61538461538461</v>
      </c>
    </row>
    <row r="209" spans="1:11" x14ac:dyDescent="0.25">
      <c r="A209" s="8">
        <v>45499</v>
      </c>
      <c r="B209" s="9" t="s">
        <v>33</v>
      </c>
      <c r="C209" s="9" t="s">
        <v>22</v>
      </c>
      <c r="D209" s="9" t="s">
        <v>18</v>
      </c>
      <c r="E209" s="9">
        <v>65</v>
      </c>
      <c r="F209" s="9">
        <v>32</v>
      </c>
      <c r="G209" s="9">
        <v>14400</v>
      </c>
      <c r="H209" s="9">
        <v>4297</v>
      </c>
      <c r="I209" s="9" t="s">
        <v>14</v>
      </c>
      <c r="J209" s="9">
        <v>10103</v>
      </c>
      <c r="K209" s="10">
        <f t="shared" si="3"/>
        <v>315.71875</v>
      </c>
    </row>
    <row r="210" spans="1:11" x14ac:dyDescent="0.25">
      <c r="A210" s="11">
        <v>45500</v>
      </c>
      <c r="B210" s="12" t="s">
        <v>33</v>
      </c>
      <c r="C210" s="12" t="s">
        <v>25</v>
      </c>
      <c r="D210" s="12" t="s">
        <v>26</v>
      </c>
      <c r="E210" s="12">
        <v>29</v>
      </c>
      <c r="F210" s="12">
        <v>12</v>
      </c>
      <c r="G210" s="12">
        <v>1212</v>
      </c>
      <c r="H210" s="12">
        <v>508</v>
      </c>
      <c r="I210" s="12" t="s">
        <v>21</v>
      </c>
      <c r="J210" s="12">
        <v>704</v>
      </c>
      <c r="K210" s="13">
        <f t="shared" si="3"/>
        <v>58.666666666666664</v>
      </c>
    </row>
    <row r="211" spans="1:11" x14ac:dyDescent="0.25">
      <c r="A211" s="8">
        <v>45501</v>
      </c>
      <c r="B211" s="9" t="s">
        <v>33</v>
      </c>
      <c r="C211" s="9" t="s">
        <v>22</v>
      </c>
      <c r="D211" s="9" t="s">
        <v>18</v>
      </c>
      <c r="E211" s="9">
        <v>74</v>
      </c>
      <c r="F211" s="9">
        <v>15</v>
      </c>
      <c r="G211" s="9">
        <v>4500</v>
      </c>
      <c r="H211" s="9">
        <v>1779</v>
      </c>
      <c r="I211" s="9" t="s">
        <v>27</v>
      </c>
      <c r="J211" s="9">
        <v>2721</v>
      </c>
      <c r="K211" s="10">
        <f t="shared" si="3"/>
        <v>181.4</v>
      </c>
    </row>
    <row r="212" spans="1:11" x14ac:dyDescent="0.25">
      <c r="A212" s="11">
        <v>45502</v>
      </c>
      <c r="B212" s="12" t="s">
        <v>33</v>
      </c>
      <c r="C212" s="12" t="s">
        <v>24</v>
      </c>
      <c r="D212" s="12" t="s">
        <v>18</v>
      </c>
      <c r="E212" s="12">
        <v>76</v>
      </c>
      <c r="F212" s="12">
        <v>20</v>
      </c>
      <c r="G212" s="12">
        <v>8180</v>
      </c>
      <c r="H212" s="12">
        <v>1826</v>
      </c>
      <c r="I212" s="12" t="s">
        <v>14</v>
      </c>
      <c r="J212" s="12">
        <v>6354</v>
      </c>
      <c r="K212" s="13">
        <f t="shared" si="3"/>
        <v>317.7</v>
      </c>
    </row>
    <row r="213" spans="1:11" x14ac:dyDescent="0.25">
      <c r="A213" s="8">
        <v>45503</v>
      </c>
      <c r="B213" s="9" t="s">
        <v>33</v>
      </c>
      <c r="C213" s="9" t="s">
        <v>22</v>
      </c>
      <c r="D213" s="9" t="s">
        <v>18</v>
      </c>
      <c r="E213" s="9">
        <v>39</v>
      </c>
      <c r="F213" s="9">
        <v>15</v>
      </c>
      <c r="G213" s="9">
        <v>4500</v>
      </c>
      <c r="H213" s="9">
        <v>1853</v>
      </c>
      <c r="I213" s="9" t="s">
        <v>27</v>
      </c>
      <c r="J213" s="9">
        <v>2647</v>
      </c>
      <c r="K213" s="10">
        <f t="shared" si="3"/>
        <v>176.46666666666667</v>
      </c>
    </row>
    <row r="214" spans="1:11" x14ac:dyDescent="0.25">
      <c r="A214" s="11">
        <v>45504</v>
      </c>
      <c r="B214" s="12" t="s">
        <v>33</v>
      </c>
      <c r="C214" s="12" t="s">
        <v>25</v>
      </c>
      <c r="D214" s="12" t="s">
        <v>26</v>
      </c>
      <c r="E214" s="12">
        <v>89</v>
      </c>
      <c r="F214" s="12">
        <v>73</v>
      </c>
      <c r="G214" s="12">
        <v>33872</v>
      </c>
      <c r="H214" s="12">
        <v>13555</v>
      </c>
      <c r="I214" s="12" t="s">
        <v>14</v>
      </c>
      <c r="J214" s="12">
        <v>20317</v>
      </c>
      <c r="K214" s="13">
        <f t="shared" si="3"/>
        <v>278.3150684931507</v>
      </c>
    </row>
    <row r="215" spans="1:11" x14ac:dyDescent="0.25">
      <c r="A215" s="8">
        <v>45505</v>
      </c>
      <c r="B215" s="9" t="s">
        <v>34</v>
      </c>
      <c r="C215" s="9" t="s">
        <v>17</v>
      </c>
      <c r="D215" s="9" t="s">
        <v>18</v>
      </c>
      <c r="E215" s="9">
        <v>45</v>
      </c>
      <c r="F215" s="9">
        <v>37</v>
      </c>
      <c r="G215" s="9">
        <v>5143</v>
      </c>
      <c r="H215" s="9">
        <v>1281</v>
      </c>
      <c r="I215" s="9" t="s">
        <v>14</v>
      </c>
      <c r="J215" s="9">
        <v>3862</v>
      </c>
      <c r="K215" s="10">
        <f t="shared" si="3"/>
        <v>104.37837837837837</v>
      </c>
    </row>
    <row r="216" spans="1:11" x14ac:dyDescent="0.25">
      <c r="A216" s="11">
        <v>45506</v>
      </c>
      <c r="B216" s="12" t="s">
        <v>34</v>
      </c>
      <c r="C216" s="12" t="s">
        <v>24</v>
      </c>
      <c r="D216" s="12" t="s">
        <v>18</v>
      </c>
      <c r="E216" s="12">
        <v>85</v>
      </c>
      <c r="F216" s="12">
        <v>25</v>
      </c>
      <c r="G216" s="12">
        <v>10975</v>
      </c>
      <c r="H216" s="12">
        <v>2330</v>
      </c>
      <c r="I216" s="12" t="s">
        <v>14</v>
      </c>
      <c r="J216" s="12">
        <v>8645</v>
      </c>
      <c r="K216" s="13">
        <f t="shared" si="3"/>
        <v>345.8</v>
      </c>
    </row>
    <row r="217" spans="1:11" x14ac:dyDescent="0.25">
      <c r="A217" s="8">
        <v>45507</v>
      </c>
      <c r="B217" s="9" t="s">
        <v>34</v>
      </c>
      <c r="C217" s="9" t="s">
        <v>25</v>
      </c>
      <c r="D217" s="9" t="s">
        <v>26</v>
      </c>
      <c r="E217" s="9">
        <v>42</v>
      </c>
      <c r="F217" s="9">
        <v>17</v>
      </c>
      <c r="G217" s="9">
        <v>6103</v>
      </c>
      <c r="H217" s="9">
        <v>1527</v>
      </c>
      <c r="I217" s="9" t="s">
        <v>27</v>
      </c>
      <c r="J217" s="9">
        <v>4576</v>
      </c>
      <c r="K217" s="10">
        <f t="shared" si="3"/>
        <v>269.1764705882353</v>
      </c>
    </row>
    <row r="218" spans="1:11" x14ac:dyDescent="0.25">
      <c r="A218" s="11">
        <v>45508</v>
      </c>
      <c r="B218" s="12" t="s">
        <v>34</v>
      </c>
      <c r="C218" s="12" t="s">
        <v>25</v>
      </c>
      <c r="D218" s="12" t="s">
        <v>26</v>
      </c>
      <c r="E218" s="12">
        <v>72</v>
      </c>
      <c r="F218" s="12">
        <v>15</v>
      </c>
      <c r="G218" s="12">
        <v>5550</v>
      </c>
      <c r="H218" s="12">
        <v>1370</v>
      </c>
      <c r="I218" s="12" t="s">
        <v>27</v>
      </c>
      <c r="J218" s="12">
        <v>4180</v>
      </c>
      <c r="K218" s="13">
        <f t="shared" si="3"/>
        <v>278.66666666666669</v>
      </c>
    </row>
    <row r="219" spans="1:11" x14ac:dyDescent="0.25">
      <c r="A219" s="8">
        <v>45509</v>
      </c>
      <c r="B219" s="9" t="s">
        <v>34</v>
      </c>
      <c r="C219" s="9" t="s">
        <v>25</v>
      </c>
      <c r="D219" s="9" t="s">
        <v>26</v>
      </c>
      <c r="E219" s="9">
        <v>97</v>
      </c>
      <c r="F219" s="9">
        <v>57</v>
      </c>
      <c r="G219" s="9">
        <v>11628</v>
      </c>
      <c r="H219" s="9">
        <v>5235</v>
      </c>
      <c r="I219" s="9" t="s">
        <v>27</v>
      </c>
      <c r="J219" s="9">
        <v>6393</v>
      </c>
      <c r="K219" s="10">
        <f t="shared" si="3"/>
        <v>112.15789473684211</v>
      </c>
    </row>
    <row r="220" spans="1:11" x14ac:dyDescent="0.25">
      <c r="A220" s="11">
        <v>45510</v>
      </c>
      <c r="B220" s="12" t="s">
        <v>34</v>
      </c>
      <c r="C220" s="12" t="s">
        <v>22</v>
      </c>
      <c r="D220" s="12" t="s">
        <v>18</v>
      </c>
      <c r="E220" s="12">
        <v>53</v>
      </c>
      <c r="F220" s="12">
        <v>26</v>
      </c>
      <c r="G220" s="12">
        <v>9022</v>
      </c>
      <c r="H220" s="12">
        <v>2671</v>
      </c>
      <c r="I220" s="12" t="s">
        <v>23</v>
      </c>
      <c r="J220" s="12">
        <v>6351</v>
      </c>
      <c r="K220" s="13">
        <f t="shared" si="3"/>
        <v>244.26923076923077</v>
      </c>
    </row>
    <row r="221" spans="1:11" x14ac:dyDescent="0.25">
      <c r="A221" s="8">
        <v>45511</v>
      </c>
      <c r="B221" s="9" t="s">
        <v>34</v>
      </c>
      <c r="C221" s="9" t="s">
        <v>12</v>
      </c>
      <c r="D221" s="9" t="s">
        <v>13</v>
      </c>
      <c r="E221" s="9">
        <v>80</v>
      </c>
      <c r="F221" s="9">
        <v>20</v>
      </c>
      <c r="G221" s="9">
        <v>2760</v>
      </c>
      <c r="H221" s="9">
        <v>1306</v>
      </c>
      <c r="I221" s="9" t="s">
        <v>23</v>
      </c>
      <c r="J221" s="9">
        <v>1454</v>
      </c>
      <c r="K221" s="10">
        <f t="shared" si="3"/>
        <v>72.7</v>
      </c>
    </row>
    <row r="222" spans="1:11" x14ac:dyDescent="0.25">
      <c r="A222" s="11">
        <v>45512</v>
      </c>
      <c r="B222" s="12" t="s">
        <v>34</v>
      </c>
      <c r="C222" s="12" t="s">
        <v>24</v>
      </c>
      <c r="D222" s="12" t="s">
        <v>18</v>
      </c>
      <c r="E222" s="12">
        <v>73</v>
      </c>
      <c r="F222" s="12">
        <v>24</v>
      </c>
      <c r="G222" s="12">
        <v>10944</v>
      </c>
      <c r="H222" s="12">
        <v>2336</v>
      </c>
      <c r="I222" s="12" t="s">
        <v>27</v>
      </c>
      <c r="J222" s="12">
        <v>8608</v>
      </c>
      <c r="K222" s="13">
        <f t="shared" si="3"/>
        <v>358.66666666666669</v>
      </c>
    </row>
    <row r="223" spans="1:11" x14ac:dyDescent="0.25">
      <c r="A223" s="8">
        <v>45513</v>
      </c>
      <c r="B223" s="9" t="s">
        <v>34</v>
      </c>
      <c r="C223" s="9" t="s">
        <v>22</v>
      </c>
      <c r="D223" s="9" t="s">
        <v>18</v>
      </c>
      <c r="E223" s="9">
        <v>87</v>
      </c>
      <c r="F223" s="9">
        <v>12</v>
      </c>
      <c r="G223" s="9">
        <v>3504</v>
      </c>
      <c r="H223" s="9">
        <v>1717</v>
      </c>
      <c r="I223" s="9" t="s">
        <v>14</v>
      </c>
      <c r="J223" s="9">
        <v>1787</v>
      </c>
      <c r="K223" s="10">
        <f t="shared" si="3"/>
        <v>148.91666666666666</v>
      </c>
    </row>
    <row r="224" spans="1:11" x14ac:dyDescent="0.25">
      <c r="A224" s="11">
        <v>45514</v>
      </c>
      <c r="B224" s="12" t="s">
        <v>34</v>
      </c>
      <c r="C224" s="12" t="s">
        <v>17</v>
      </c>
      <c r="D224" s="12" t="s">
        <v>18</v>
      </c>
      <c r="E224" s="12">
        <v>94</v>
      </c>
      <c r="F224" s="12">
        <v>32</v>
      </c>
      <c r="G224" s="12">
        <v>4320</v>
      </c>
      <c r="H224" s="12">
        <v>1537</v>
      </c>
      <c r="I224" s="12" t="s">
        <v>27</v>
      </c>
      <c r="J224" s="12">
        <v>2783</v>
      </c>
      <c r="K224" s="13">
        <f t="shared" si="3"/>
        <v>86.96875</v>
      </c>
    </row>
    <row r="225" spans="1:11" x14ac:dyDescent="0.25">
      <c r="A225" s="8">
        <v>45515</v>
      </c>
      <c r="B225" s="9" t="s">
        <v>34</v>
      </c>
      <c r="C225" s="9" t="s">
        <v>15</v>
      </c>
      <c r="D225" s="9" t="s">
        <v>13</v>
      </c>
      <c r="E225" s="9">
        <v>87</v>
      </c>
      <c r="F225" s="9">
        <v>85</v>
      </c>
      <c r="G225" s="9">
        <v>19465</v>
      </c>
      <c r="H225" s="9">
        <v>8661</v>
      </c>
      <c r="I225" s="9" t="s">
        <v>27</v>
      </c>
      <c r="J225" s="9">
        <v>10804</v>
      </c>
      <c r="K225" s="10">
        <f t="shared" si="3"/>
        <v>127.10588235294118</v>
      </c>
    </row>
    <row r="226" spans="1:11" x14ac:dyDescent="0.25">
      <c r="A226" s="11">
        <v>45516</v>
      </c>
      <c r="B226" s="12" t="s">
        <v>34</v>
      </c>
      <c r="C226" s="12" t="s">
        <v>22</v>
      </c>
      <c r="D226" s="12" t="s">
        <v>18</v>
      </c>
      <c r="E226" s="12">
        <v>78</v>
      </c>
      <c r="F226" s="12">
        <v>42</v>
      </c>
      <c r="G226" s="12">
        <v>6468</v>
      </c>
      <c r="H226" s="12">
        <v>2415</v>
      </c>
      <c r="I226" s="12" t="s">
        <v>14</v>
      </c>
      <c r="J226" s="12">
        <v>4053</v>
      </c>
      <c r="K226" s="13">
        <f t="shared" si="3"/>
        <v>96.5</v>
      </c>
    </row>
    <row r="227" spans="1:11" x14ac:dyDescent="0.25">
      <c r="A227" s="8">
        <v>45517</v>
      </c>
      <c r="B227" s="9" t="s">
        <v>34</v>
      </c>
      <c r="C227" s="9" t="s">
        <v>17</v>
      </c>
      <c r="D227" s="9" t="s">
        <v>18</v>
      </c>
      <c r="E227" s="9">
        <v>93</v>
      </c>
      <c r="F227" s="9">
        <v>30</v>
      </c>
      <c r="G227" s="9">
        <v>5010</v>
      </c>
      <c r="H227" s="9">
        <v>2150</v>
      </c>
      <c r="I227" s="9" t="s">
        <v>23</v>
      </c>
      <c r="J227" s="9">
        <v>2860</v>
      </c>
      <c r="K227" s="10">
        <f t="shared" si="3"/>
        <v>95.333333333333329</v>
      </c>
    </row>
    <row r="228" spans="1:11" x14ac:dyDescent="0.25">
      <c r="A228" s="11">
        <v>45518</v>
      </c>
      <c r="B228" s="12" t="s">
        <v>34</v>
      </c>
      <c r="C228" s="12" t="s">
        <v>24</v>
      </c>
      <c r="D228" s="12" t="s">
        <v>18</v>
      </c>
      <c r="E228" s="12">
        <v>67</v>
      </c>
      <c r="F228" s="12">
        <v>40</v>
      </c>
      <c r="G228" s="12">
        <v>15800</v>
      </c>
      <c r="H228" s="12">
        <v>6344</v>
      </c>
      <c r="I228" s="12" t="s">
        <v>21</v>
      </c>
      <c r="J228" s="12">
        <v>9456</v>
      </c>
      <c r="K228" s="13">
        <f t="shared" si="3"/>
        <v>236.4</v>
      </c>
    </row>
    <row r="229" spans="1:11" x14ac:dyDescent="0.25">
      <c r="A229" s="8">
        <v>45519</v>
      </c>
      <c r="B229" s="9" t="s">
        <v>34</v>
      </c>
      <c r="C229" s="9" t="s">
        <v>12</v>
      </c>
      <c r="D229" s="9" t="s">
        <v>13</v>
      </c>
      <c r="E229" s="9">
        <v>41</v>
      </c>
      <c r="F229" s="9">
        <v>36</v>
      </c>
      <c r="G229" s="9">
        <v>6984</v>
      </c>
      <c r="H229" s="9">
        <v>2890</v>
      </c>
      <c r="I229" s="9" t="s">
        <v>23</v>
      </c>
      <c r="J229" s="9">
        <v>4094</v>
      </c>
      <c r="K229" s="10">
        <f t="shared" si="3"/>
        <v>113.72222222222223</v>
      </c>
    </row>
    <row r="230" spans="1:11" x14ac:dyDescent="0.25">
      <c r="A230" s="11">
        <v>45520</v>
      </c>
      <c r="B230" s="12" t="s">
        <v>34</v>
      </c>
      <c r="C230" s="12" t="s">
        <v>25</v>
      </c>
      <c r="D230" s="12" t="s">
        <v>26</v>
      </c>
      <c r="E230" s="12">
        <v>86</v>
      </c>
      <c r="F230" s="12">
        <v>75</v>
      </c>
      <c r="G230" s="12">
        <v>31725</v>
      </c>
      <c r="H230" s="12">
        <v>7473</v>
      </c>
      <c r="I230" s="12" t="s">
        <v>14</v>
      </c>
      <c r="J230" s="12">
        <v>24252</v>
      </c>
      <c r="K230" s="13">
        <f t="shared" si="3"/>
        <v>323.36</v>
      </c>
    </row>
    <row r="231" spans="1:11" x14ac:dyDescent="0.25">
      <c r="A231" s="8">
        <v>45521</v>
      </c>
      <c r="B231" s="9" t="s">
        <v>34</v>
      </c>
      <c r="C231" s="9" t="s">
        <v>12</v>
      </c>
      <c r="D231" s="9" t="s">
        <v>13</v>
      </c>
      <c r="E231" s="9">
        <v>104</v>
      </c>
      <c r="F231" s="9">
        <v>100</v>
      </c>
      <c r="G231" s="9">
        <v>47100</v>
      </c>
      <c r="H231" s="9">
        <v>15914</v>
      </c>
      <c r="I231" s="9" t="s">
        <v>21</v>
      </c>
      <c r="J231" s="9">
        <v>31186</v>
      </c>
      <c r="K231" s="10">
        <f t="shared" si="3"/>
        <v>311.86</v>
      </c>
    </row>
    <row r="232" spans="1:11" x14ac:dyDescent="0.25">
      <c r="A232" s="11">
        <v>45522</v>
      </c>
      <c r="B232" s="12" t="s">
        <v>34</v>
      </c>
      <c r="C232" s="12" t="s">
        <v>25</v>
      </c>
      <c r="D232" s="12" t="s">
        <v>26</v>
      </c>
      <c r="E232" s="12">
        <v>80</v>
      </c>
      <c r="F232" s="12">
        <v>24</v>
      </c>
      <c r="G232" s="12">
        <v>4080</v>
      </c>
      <c r="H232" s="12">
        <v>1139</v>
      </c>
      <c r="I232" s="12" t="s">
        <v>16</v>
      </c>
      <c r="J232" s="12">
        <v>2941</v>
      </c>
      <c r="K232" s="13">
        <f t="shared" si="3"/>
        <v>122.54166666666667</v>
      </c>
    </row>
    <row r="233" spans="1:11" x14ac:dyDescent="0.25">
      <c r="A233" s="8">
        <v>45523</v>
      </c>
      <c r="B233" s="9" t="s">
        <v>34</v>
      </c>
      <c r="C233" s="9" t="s">
        <v>25</v>
      </c>
      <c r="D233" s="9" t="s">
        <v>26</v>
      </c>
      <c r="E233" s="9">
        <v>22</v>
      </c>
      <c r="F233" s="9">
        <v>17</v>
      </c>
      <c r="G233" s="9">
        <v>5610</v>
      </c>
      <c r="H233" s="9">
        <v>1850</v>
      </c>
      <c r="I233" s="9" t="s">
        <v>27</v>
      </c>
      <c r="J233" s="9">
        <v>3760</v>
      </c>
      <c r="K233" s="10">
        <f t="shared" si="3"/>
        <v>221.1764705882353</v>
      </c>
    </row>
    <row r="234" spans="1:11" x14ac:dyDescent="0.25">
      <c r="A234" s="11">
        <v>45524</v>
      </c>
      <c r="B234" s="12" t="s">
        <v>34</v>
      </c>
      <c r="C234" s="12" t="s">
        <v>17</v>
      </c>
      <c r="D234" s="12" t="s">
        <v>18</v>
      </c>
      <c r="E234" s="12">
        <v>46</v>
      </c>
      <c r="F234" s="12">
        <v>36</v>
      </c>
      <c r="G234" s="12">
        <v>4428</v>
      </c>
      <c r="H234" s="12">
        <v>1396</v>
      </c>
      <c r="I234" s="12" t="s">
        <v>16</v>
      </c>
      <c r="J234" s="12">
        <v>3032</v>
      </c>
      <c r="K234" s="13">
        <f t="shared" si="3"/>
        <v>84.222222222222229</v>
      </c>
    </row>
    <row r="235" spans="1:11" x14ac:dyDescent="0.25">
      <c r="A235" s="8">
        <v>45525</v>
      </c>
      <c r="B235" s="9" t="s">
        <v>34</v>
      </c>
      <c r="C235" s="9" t="s">
        <v>22</v>
      </c>
      <c r="D235" s="9" t="s">
        <v>18</v>
      </c>
      <c r="E235" s="9">
        <v>86</v>
      </c>
      <c r="F235" s="9">
        <v>44</v>
      </c>
      <c r="G235" s="9">
        <v>20240</v>
      </c>
      <c r="H235" s="9">
        <v>9822</v>
      </c>
      <c r="I235" s="9" t="s">
        <v>16</v>
      </c>
      <c r="J235" s="9">
        <v>10418</v>
      </c>
      <c r="K235" s="10">
        <f t="shared" si="3"/>
        <v>236.77272727272728</v>
      </c>
    </row>
    <row r="236" spans="1:11" x14ac:dyDescent="0.25">
      <c r="A236" s="11">
        <v>45526</v>
      </c>
      <c r="B236" s="12" t="s">
        <v>34</v>
      </c>
      <c r="C236" s="12" t="s">
        <v>22</v>
      </c>
      <c r="D236" s="12" t="s">
        <v>18</v>
      </c>
      <c r="E236" s="12">
        <v>80</v>
      </c>
      <c r="F236" s="12">
        <v>64</v>
      </c>
      <c r="G236" s="12">
        <v>19520</v>
      </c>
      <c r="H236" s="12">
        <v>9681</v>
      </c>
      <c r="I236" s="12" t="s">
        <v>16</v>
      </c>
      <c r="J236" s="12">
        <v>9839</v>
      </c>
      <c r="K236" s="13">
        <f t="shared" si="3"/>
        <v>153.734375</v>
      </c>
    </row>
    <row r="237" spans="1:11" x14ac:dyDescent="0.25">
      <c r="A237" s="8">
        <v>45527</v>
      </c>
      <c r="B237" s="9" t="s">
        <v>34</v>
      </c>
      <c r="C237" s="9" t="s">
        <v>17</v>
      </c>
      <c r="D237" s="9" t="s">
        <v>18</v>
      </c>
      <c r="E237" s="9">
        <v>86</v>
      </c>
      <c r="F237" s="9">
        <v>68</v>
      </c>
      <c r="G237" s="9">
        <v>15504</v>
      </c>
      <c r="H237" s="9">
        <v>5424</v>
      </c>
      <c r="I237" s="9" t="s">
        <v>21</v>
      </c>
      <c r="J237" s="9">
        <v>10080</v>
      </c>
      <c r="K237" s="10">
        <f t="shared" si="3"/>
        <v>148.23529411764707</v>
      </c>
    </row>
    <row r="238" spans="1:11" x14ac:dyDescent="0.25">
      <c r="A238" s="11">
        <v>45528</v>
      </c>
      <c r="B238" s="12" t="s">
        <v>34</v>
      </c>
      <c r="C238" s="12" t="s">
        <v>12</v>
      </c>
      <c r="D238" s="12" t="s">
        <v>13</v>
      </c>
      <c r="E238" s="12">
        <v>49</v>
      </c>
      <c r="F238" s="12">
        <v>38</v>
      </c>
      <c r="G238" s="12">
        <v>17290</v>
      </c>
      <c r="H238" s="12">
        <v>4343</v>
      </c>
      <c r="I238" s="12" t="s">
        <v>23</v>
      </c>
      <c r="J238" s="12">
        <v>12947</v>
      </c>
      <c r="K238" s="13">
        <f t="shared" si="3"/>
        <v>340.71052631578948</v>
      </c>
    </row>
    <row r="239" spans="1:11" x14ac:dyDescent="0.25">
      <c r="A239" s="8">
        <v>45529</v>
      </c>
      <c r="B239" s="9" t="s">
        <v>34</v>
      </c>
      <c r="C239" s="9" t="s">
        <v>17</v>
      </c>
      <c r="D239" s="9" t="s">
        <v>18</v>
      </c>
      <c r="E239" s="9">
        <v>95</v>
      </c>
      <c r="F239" s="9">
        <v>70</v>
      </c>
      <c r="G239" s="9">
        <v>34160</v>
      </c>
      <c r="H239" s="9">
        <v>14845</v>
      </c>
      <c r="I239" s="9" t="s">
        <v>21</v>
      </c>
      <c r="J239" s="9">
        <v>19315</v>
      </c>
      <c r="K239" s="10">
        <f t="shared" si="3"/>
        <v>275.92857142857144</v>
      </c>
    </row>
    <row r="240" spans="1:11" x14ac:dyDescent="0.25">
      <c r="A240" s="11">
        <v>45530</v>
      </c>
      <c r="B240" s="12" t="s">
        <v>34</v>
      </c>
      <c r="C240" s="12" t="s">
        <v>25</v>
      </c>
      <c r="D240" s="12" t="s">
        <v>26</v>
      </c>
      <c r="E240" s="12">
        <v>29</v>
      </c>
      <c r="F240" s="12">
        <v>18</v>
      </c>
      <c r="G240" s="12">
        <v>7992</v>
      </c>
      <c r="H240" s="12">
        <v>1889</v>
      </c>
      <c r="I240" s="12" t="s">
        <v>14</v>
      </c>
      <c r="J240" s="12">
        <v>6103</v>
      </c>
      <c r="K240" s="13">
        <f t="shared" si="3"/>
        <v>339.05555555555554</v>
      </c>
    </row>
    <row r="241" spans="1:11" x14ac:dyDescent="0.25">
      <c r="A241" s="8">
        <v>45531</v>
      </c>
      <c r="B241" s="9" t="s">
        <v>34</v>
      </c>
      <c r="C241" s="9" t="s">
        <v>25</v>
      </c>
      <c r="D241" s="9" t="s">
        <v>26</v>
      </c>
      <c r="E241" s="9">
        <v>89</v>
      </c>
      <c r="F241" s="9">
        <v>87</v>
      </c>
      <c r="G241" s="9">
        <v>33234</v>
      </c>
      <c r="H241" s="9">
        <v>14718</v>
      </c>
      <c r="I241" s="9" t="s">
        <v>23</v>
      </c>
      <c r="J241" s="9">
        <v>18516</v>
      </c>
      <c r="K241" s="10">
        <f t="shared" si="3"/>
        <v>212.82758620689654</v>
      </c>
    </row>
    <row r="242" spans="1:11" x14ac:dyDescent="0.25">
      <c r="A242" s="11">
        <v>45532</v>
      </c>
      <c r="B242" s="12" t="s">
        <v>34</v>
      </c>
      <c r="C242" s="12" t="s">
        <v>24</v>
      </c>
      <c r="D242" s="12" t="s">
        <v>18</v>
      </c>
      <c r="E242" s="12">
        <v>35</v>
      </c>
      <c r="F242" s="12">
        <v>28</v>
      </c>
      <c r="G242" s="12">
        <v>11648</v>
      </c>
      <c r="H242" s="12">
        <v>4218</v>
      </c>
      <c r="I242" s="12" t="s">
        <v>21</v>
      </c>
      <c r="J242" s="12">
        <v>7430</v>
      </c>
      <c r="K242" s="13">
        <f t="shared" si="3"/>
        <v>265.35714285714283</v>
      </c>
    </row>
    <row r="243" spans="1:11" x14ac:dyDescent="0.25">
      <c r="A243" s="8">
        <v>45533</v>
      </c>
      <c r="B243" s="9" t="s">
        <v>34</v>
      </c>
      <c r="C243" s="9" t="s">
        <v>15</v>
      </c>
      <c r="D243" s="9" t="s">
        <v>13</v>
      </c>
      <c r="E243" s="9">
        <v>80</v>
      </c>
      <c r="F243" s="9">
        <v>80</v>
      </c>
      <c r="G243" s="9">
        <v>34240</v>
      </c>
      <c r="H243" s="9">
        <v>15480</v>
      </c>
      <c r="I243" s="9" t="s">
        <v>14</v>
      </c>
      <c r="J243" s="9">
        <v>18760</v>
      </c>
      <c r="K243" s="10">
        <f t="shared" si="3"/>
        <v>234.5</v>
      </c>
    </row>
    <row r="244" spans="1:11" x14ac:dyDescent="0.25">
      <c r="A244" s="11">
        <v>45534</v>
      </c>
      <c r="B244" s="12" t="s">
        <v>34</v>
      </c>
      <c r="C244" s="12" t="s">
        <v>19</v>
      </c>
      <c r="D244" s="12" t="s">
        <v>20</v>
      </c>
      <c r="E244" s="12">
        <v>32</v>
      </c>
      <c r="F244" s="12">
        <v>28</v>
      </c>
      <c r="G244" s="12">
        <v>5236</v>
      </c>
      <c r="H244" s="12">
        <v>2496</v>
      </c>
      <c r="I244" s="12" t="s">
        <v>27</v>
      </c>
      <c r="J244" s="12">
        <v>2740</v>
      </c>
      <c r="K244" s="13">
        <f t="shared" si="3"/>
        <v>97.857142857142861</v>
      </c>
    </row>
    <row r="245" spans="1:11" x14ac:dyDescent="0.25">
      <c r="A245" s="8">
        <v>45535</v>
      </c>
      <c r="B245" s="9" t="s">
        <v>34</v>
      </c>
      <c r="C245" s="9" t="s">
        <v>17</v>
      </c>
      <c r="D245" s="9" t="s">
        <v>18</v>
      </c>
      <c r="E245" s="9">
        <v>65</v>
      </c>
      <c r="F245" s="9">
        <v>23</v>
      </c>
      <c r="G245" s="9">
        <v>4140</v>
      </c>
      <c r="H245" s="9">
        <v>902</v>
      </c>
      <c r="I245" s="9" t="s">
        <v>21</v>
      </c>
      <c r="J245" s="9">
        <v>3238</v>
      </c>
      <c r="K245" s="10">
        <f t="shared" si="3"/>
        <v>140.78260869565219</v>
      </c>
    </row>
    <row r="246" spans="1:11" x14ac:dyDescent="0.25">
      <c r="A246" s="11">
        <v>45536</v>
      </c>
      <c r="B246" s="12" t="s">
        <v>35</v>
      </c>
      <c r="C246" s="12" t="s">
        <v>17</v>
      </c>
      <c r="D246" s="12" t="s">
        <v>18</v>
      </c>
      <c r="E246" s="12">
        <v>74</v>
      </c>
      <c r="F246" s="12">
        <v>28</v>
      </c>
      <c r="G246" s="12">
        <v>5292</v>
      </c>
      <c r="H246" s="12">
        <v>1697</v>
      </c>
      <c r="I246" s="12" t="s">
        <v>16</v>
      </c>
      <c r="J246" s="12">
        <v>3595</v>
      </c>
      <c r="K246" s="13">
        <f t="shared" si="3"/>
        <v>128.39285714285714</v>
      </c>
    </row>
    <row r="247" spans="1:11" x14ac:dyDescent="0.25">
      <c r="A247" s="8">
        <v>45537</v>
      </c>
      <c r="B247" s="9" t="s">
        <v>35</v>
      </c>
      <c r="C247" s="9" t="s">
        <v>19</v>
      </c>
      <c r="D247" s="9" t="s">
        <v>20</v>
      </c>
      <c r="E247" s="9">
        <v>120</v>
      </c>
      <c r="F247" s="9">
        <v>81</v>
      </c>
      <c r="G247" s="9">
        <v>14337</v>
      </c>
      <c r="H247" s="9">
        <v>4960</v>
      </c>
      <c r="I247" s="9" t="s">
        <v>27</v>
      </c>
      <c r="J247" s="9">
        <v>9377</v>
      </c>
      <c r="K247" s="10">
        <f t="shared" si="3"/>
        <v>115.76543209876543</v>
      </c>
    </row>
    <row r="248" spans="1:11" x14ac:dyDescent="0.25">
      <c r="A248" s="11">
        <v>45538</v>
      </c>
      <c r="B248" s="12" t="s">
        <v>35</v>
      </c>
      <c r="C248" s="12" t="s">
        <v>15</v>
      </c>
      <c r="D248" s="12" t="s">
        <v>13</v>
      </c>
      <c r="E248" s="12">
        <v>46</v>
      </c>
      <c r="F248" s="12">
        <v>45</v>
      </c>
      <c r="G248" s="12">
        <v>15975</v>
      </c>
      <c r="H248" s="12">
        <v>5076</v>
      </c>
      <c r="I248" s="12" t="s">
        <v>16</v>
      </c>
      <c r="J248" s="12">
        <v>10899</v>
      </c>
      <c r="K248" s="13">
        <f t="shared" si="3"/>
        <v>242.2</v>
      </c>
    </row>
    <row r="249" spans="1:11" x14ac:dyDescent="0.25">
      <c r="A249" s="8">
        <v>45539</v>
      </c>
      <c r="B249" s="9" t="s">
        <v>35</v>
      </c>
      <c r="C249" s="9" t="s">
        <v>12</v>
      </c>
      <c r="D249" s="9" t="s">
        <v>13</v>
      </c>
      <c r="E249" s="9">
        <v>57</v>
      </c>
      <c r="F249" s="9">
        <v>17</v>
      </c>
      <c r="G249" s="9">
        <v>3230</v>
      </c>
      <c r="H249" s="9">
        <v>813</v>
      </c>
      <c r="I249" s="9" t="s">
        <v>14</v>
      </c>
      <c r="J249" s="9">
        <v>2417</v>
      </c>
      <c r="K249" s="10">
        <f t="shared" si="3"/>
        <v>142.1764705882353</v>
      </c>
    </row>
    <row r="250" spans="1:11" x14ac:dyDescent="0.25">
      <c r="A250" s="11">
        <v>45540</v>
      </c>
      <c r="B250" s="12" t="s">
        <v>35</v>
      </c>
      <c r="C250" s="12" t="s">
        <v>17</v>
      </c>
      <c r="D250" s="12" t="s">
        <v>18</v>
      </c>
      <c r="E250" s="12">
        <v>99</v>
      </c>
      <c r="F250" s="12">
        <v>41</v>
      </c>
      <c r="G250" s="12">
        <v>16728</v>
      </c>
      <c r="H250" s="12">
        <v>4398</v>
      </c>
      <c r="I250" s="12" t="s">
        <v>16</v>
      </c>
      <c r="J250" s="12">
        <v>12330</v>
      </c>
      <c r="K250" s="13">
        <f t="shared" si="3"/>
        <v>300.73170731707319</v>
      </c>
    </row>
    <row r="251" spans="1:11" x14ac:dyDescent="0.25">
      <c r="A251" s="8">
        <v>45541</v>
      </c>
      <c r="B251" s="9" t="s">
        <v>35</v>
      </c>
      <c r="C251" s="9" t="s">
        <v>25</v>
      </c>
      <c r="D251" s="9" t="s">
        <v>26</v>
      </c>
      <c r="E251" s="9">
        <v>71</v>
      </c>
      <c r="F251" s="9">
        <v>19</v>
      </c>
      <c r="G251" s="9">
        <v>4104</v>
      </c>
      <c r="H251" s="9">
        <v>1725</v>
      </c>
      <c r="I251" s="9" t="s">
        <v>23</v>
      </c>
      <c r="J251" s="9">
        <v>2379</v>
      </c>
      <c r="K251" s="10">
        <f t="shared" si="3"/>
        <v>125.21052631578948</v>
      </c>
    </row>
    <row r="252" spans="1:11" x14ac:dyDescent="0.25">
      <c r="A252" s="11">
        <v>45542</v>
      </c>
      <c r="B252" s="12" t="s">
        <v>35</v>
      </c>
      <c r="C252" s="12" t="s">
        <v>12</v>
      </c>
      <c r="D252" s="12" t="s">
        <v>13</v>
      </c>
      <c r="E252" s="12">
        <v>41</v>
      </c>
      <c r="F252" s="12">
        <v>34</v>
      </c>
      <c r="G252" s="12">
        <v>16558</v>
      </c>
      <c r="H252" s="12">
        <v>5464</v>
      </c>
      <c r="I252" s="12" t="s">
        <v>14</v>
      </c>
      <c r="J252" s="12">
        <v>11094</v>
      </c>
      <c r="K252" s="13">
        <f t="shared" si="3"/>
        <v>326.29411764705884</v>
      </c>
    </row>
    <row r="253" spans="1:11" x14ac:dyDescent="0.25">
      <c r="A253" s="8">
        <v>45543</v>
      </c>
      <c r="B253" s="9" t="s">
        <v>35</v>
      </c>
      <c r="C253" s="9" t="s">
        <v>19</v>
      </c>
      <c r="D253" s="9" t="s">
        <v>20</v>
      </c>
      <c r="E253" s="9">
        <v>85</v>
      </c>
      <c r="F253" s="9">
        <v>62</v>
      </c>
      <c r="G253" s="9">
        <v>8990</v>
      </c>
      <c r="H253" s="9">
        <v>3568</v>
      </c>
      <c r="I253" s="9" t="s">
        <v>14</v>
      </c>
      <c r="J253" s="9">
        <v>5422</v>
      </c>
      <c r="K253" s="10">
        <f t="shared" si="3"/>
        <v>87.451612903225808</v>
      </c>
    </row>
    <row r="254" spans="1:11" x14ac:dyDescent="0.25">
      <c r="A254" s="11">
        <v>45544</v>
      </c>
      <c r="B254" s="12" t="s">
        <v>35</v>
      </c>
      <c r="C254" s="12" t="s">
        <v>22</v>
      </c>
      <c r="D254" s="12" t="s">
        <v>18</v>
      </c>
      <c r="E254" s="12">
        <v>61</v>
      </c>
      <c r="F254" s="12">
        <v>43</v>
      </c>
      <c r="G254" s="12">
        <v>13330</v>
      </c>
      <c r="H254" s="12">
        <v>4567</v>
      </c>
      <c r="I254" s="12" t="s">
        <v>14</v>
      </c>
      <c r="J254" s="12">
        <v>8763</v>
      </c>
      <c r="K254" s="13">
        <f t="shared" si="3"/>
        <v>203.7906976744186</v>
      </c>
    </row>
    <row r="255" spans="1:11" x14ac:dyDescent="0.25">
      <c r="A255" s="8">
        <v>45545</v>
      </c>
      <c r="B255" s="9" t="s">
        <v>35</v>
      </c>
      <c r="C255" s="9" t="s">
        <v>15</v>
      </c>
      <c r="D255" s="9" t="s">
        <v>13</v>
      </c>
      <c r="E255" s="9">
        <v>30</v>
      </c>
      <c r="F255" s="9">
        <v>21</v>
      </c>
      <c r="G255" s="9">
        <v>3843</v>
      </c>
      <c r="H255" s="9">
        <v>1908</v>
      </c>
      <c r="I255" s="9" t="s">
        <v>27</v>
      </c>
      <c r="J255" s="9">
        <v>1935</v>
      </c>
      <c r="K255" s="10">
        <f t="shared" si="3"/>
        <v>92.142857142857139</v>
      </c>
    </row>
    <row r="256" spans="1:11" x14ac:dyDescent="0.25">
      <c r="A256" s="11">
        <v>45546</v>
      </c>
      <c r="B256" s="12" t="s">
        <v>35</v>
      </c>
      <c r="C256" s="12" t="s">
        <v>24</v>
      </c>
      <c r="D256" s="12" t="s">
        <v>18</v>
      </c>
      <c r="E256" s="12">
        <v>35</v>
      </c>
      <c r="F256" s="12">
        <v>15</v>
      </c>
      <c r="G256" s="12">
        <v>1665</v>
      </c>
      <c r="H256" s="12">
        <v>361</v>
      </c>
      <c r="I256" s="12" t="s">
        <v>21</v>
      </c>
      <c r="J256" s="12">
        <v>1304</v>
      </c>
      <c r="K256" s="13">
        <f t="shared" si="3"/>
        <v>86.933333333333337</v>
      </c>
    </row>
    <row r="257" spans="1:11" x14ac:dyDescent="0.25">
      <c r="A257" s="8">
        <v>45547</v>
      </c>
      <c r="B257" s="9" t="s">
        <v>35</v>
      </c>
      <c r="C257" s="9" t="s">
        <v>22</v>
      </c>
      <c r="D257" s="9" t="s">
        <v>18</v>
      </c>
      <c r="E257" s="9">
        <v>80</v>
      </c>
      <c r="F257" s="9">
        <v>27</v>
      </c>
      <c r="G257" s="9">
        <v>7830</v>
      </c>
      <c r="H257" s="9">
        <v>3407</v>
      </c>
      <c r="I257" s="9" t="s">
        <v>23</v>
      </c>
      <c r="J257" s="9">
        <v>4423</v>
      </c>
      <c r="K257" s="10">
        <f t="shared" si="3"/>
        <v>163.81481481481481</v>
      </c>
    </row>
    <row r="258" spans="1:11" x14ac:dyDescent="0.25">
      <c r="A258" s="11">
        <v>45548</v>
      </c>
      <c r="B258" s="12" t="s">
        <v>35</v>
      </c>
      <c r="C258" s="12" t="s">
        <v>17</v>
      </c>
      <c r="D258" s="12" t="s">
        <v>18</v>
      </c>
      <c r="E258" s="12">
        <v>63</v>
      </c>
      <c r="F258" s="12">
        <v>51</v>
      </c>
      <c r="G258" s="12">
        <v>15963</v>
      </c>
      <c r="H258" s="12">
        <v>6950</v>
      </c>
      <c r="I258" s="12" t="s">
        <v>16</v>
      </c>
      <c r="J258" s="12">
        <v>9013</v>
      </c>
      <c r="K258" s="13">
        <f t="shared" ref="K258:K321" si="4">IF(F258=0,0,J258/F258)</f>
        <v>176.72549019607843</v>
      </c>
    </row>
    <row r="259" spans="1:11" x14ac:dyDescent="0.25">
      <c r="A259" s="8">
        <v>45549</v>
      </c>
      <c r="B259" s="9" t="s">
        <v>35</v>
      </c>
      <c r="C259" s="9" t="s">
        <v>19</v>
      </c>
      <c r="D259" s="9" t="s">
        <v>20</v>
      </c>
      <c r="E259" s="9">
        <v>68</v>
      </c>
      <c r="F259" s="9">
        <v>13</v>
      </c>
      <c r="G259" s="9">
        <v>4602</v>
      </c>
      <c r="H259" s="9">
        <v>1050</v>
      </c>
      <c r="I259" s="9" t="s">
        <v>27</v>
      </c>
      <c r="J259" s="9">
        <v>3552</v>
      </c>
      <c r="K259" s="10">
        <f t="shared" si="4"/>
        <v>273.23076923076923</v>
      </c>
    </row>
    <row r="260" spans="1:11" x14ac:dyDescent="0.25">
      <c r="A260" s="11">
        <v>45550</v>
      </c>
      <c r="B260" s="12" t="s">
        <v>35</v>
      </c>
      <c r="C260" s="12" t="s">
        <v>12</v>
      </c>
      <c r="D260" s="12" t="s">
        <v>13</v>
      </c>
      <c r="E260" s="12">
        <v>114</v>
      </c>
      <c r="F260" s="12">
        <v>81</v>
      </c>
      <c r="G260" s="12">
        <v>27864</v>
      </c>
      <c r="H260" s="12">
        <v>13847</v>
      </c>
      <c r="I260" s="12" t="s">
        <v>23</v>
      </c>
      <c r="J260" s="12">
        <v>14017</v>
      </c>
      <c r="K260" s="13">
        <f t="shared" si="4"/>
        <v>173.04938271604939</v>
      </c>
    </row>
    <row r="261" spans="1:11" x14ac:dyDescent="0.25">
      <c r="A261" s="8">
        <v>45551</v>
      </c>
      <c r="B261" s="9" t="s">
        <v>35</v>
      </c>
      <c r="C261" s="9" t="s">
        <v>12</v>
      </c>
      <c r="D261" s="9" t="s">
        <v>13</v>
      </c>
      <c r="E261" s="9">
        <v>107</v>
      </c>
      <c r="F261" s="9">
        <v>32</v>
      </c>
      <c r="G261" s="9">
        <v>4256</v>
      </c>
      <c r="H261" s="9">
        <v>1747</v>
      </c>
      <c r="I261" s="9" t="s">
        <v>21</v>
      </c>
      <c r="J261" s="9">
        <v>2509</v>
      </c>
      <c r="K261" s="10">
        <f t="shared" si="4"/>
        <v>78.40625</v>
      </c>
    </row>
    <row r="262" spans="1:11" x14ac:dyDescent="0.25">
      <c r="A262" s="11">
        <v>45552</v>
      </c>
      <c r="B262" s="12" t="s">
        <v>35</v>
      </c>
      <c r="C262" s="12" t="s">
        <v>25</v>
      </c>
      <c r="D262" s="12" t="s">
        <v>26</v>
      </c>
      <c r="E262" s="12">
        <v>92</v>
      </c>
      <c r="F262" s="12">
        <v>17</v>
      </c>
      <c r="G262" s="12">
        <v>6613</v>
      </c>
      <c r="H262" s="12">
        <v>2109</v>
      </c>
      <c r="I262" s="12" t="s">
        <v>14</v>
      </c>
      <c r="J262" s="12">
        <v>4504</v>
      </c>
      <c r="K262" s="13">
        <f t="shared" si="4"/>
        <v>264.94117647058823</v>
      </c>
    </row>
    <row r="263" spans="1:11" x14ac:dyDescent="0.25">
      <c r="A263" s="8">
        <v>45553</v>
      </c>
      <c r="B263" s="9" t="s">
        <v>35</v>
      </c>
      <c r="C263" s="9" t="s">
        <v>15</v>
      </c>
      <c r="D263" s="9" t="s">
        <v>13</v>
      </c>
      <c r="E263" s="9">
        <v>96</v>
      </c>
      <c r="F263" s="9">
        <v>47</v>
      </c>
      <c r="G263" s="9">
        <v>20022</v>
      </c>
      <c r="H263" s="9">
        <v>6014</v>
      </c>
      <c r="I263" s="9" t="s">
        <v>27</v>
      </c>
      <c r="J263" s="9">
        <v>14008</v>
      </c>
      <c r="K263" s="10">
        <f t="shared" si="4"/>
        <v>298.04255319148939</v>
      </c>
    </row>
    <row r="264" spans="1:11" x14ac:dyDescent="0.25">
      <c r="A264" s="11">
        <v>45554</v>
      </c>
      <c r="B264" s="12" t="s">
        <v>35</v>
      </c>
      <c r="C264" s="12" t="s">
        <v>22</v>
      </c>
      <c r="D264" s="12" t="s">
        <v>18</v>
      </c>
      <c r="E264" s="12">
        <v>35</v>
      </c>
      <c r="F264" s="12">
        <v>18</v>
      </c>
      <c r="G264" s="12">
        <v>7506</v>
      </c>
      <c r="H264" s="12">
        <v>3521</v>
      </c>
      <c r="I264" s="12" t="s">
        <v>14</v>
      </c>
      <c r="J264" s="12">
        <v>3985</v>
      </c>
      <c r="K264" s="13">
        <f t="shared" si="4"/>
        <v>221.38888888888889</v>
      </c>
    </row>
    <row r="265" spans="1:11" x14ac:dyDescent="0.25">
      <c r="A265" s="8">
        <v>45555</v>
      </c>
      <c r="B265" s="9" t="s">
        <v>35</v>
      </c>
      <c r="C265" s="9" t="s">
        <v>17</v>
      </c>
      <c r="D265" s="9" t="s">
        <v>18</v>
      </c>
      <c r="E265" s="9">
        <v>72</v>
      </c>
      <c r="F265" s="9">
        <v>52</v>
      </c>
      <c r="G265" s="9">
        <v>6864</v>
      </c>
      <c r="H265" s="9">
        <v>2411</v>
      </c>
      <c r="I265" s="9" t="s">
        <v>16</v>
      </c>
      <c r="J265" s="9">
        <v>4453</v>
      </c>
      <c r="K265" s="10">
        <f t="shared" si="4"/>
        <v>85.634615384615387</v>
      </c>
    </row>
    <row r="266" spans="1:11" x14ac:dyDescent="0.25">
      <c r="A266" s="11">
        <v>45556</v>
      </c>
      <c r="B266" s="12" t="s">
        <v>35</v>
      </c>
      <c r="C266" s="12" t="s">
        <v>19</v>
      </c>
      <c r="D266" s="12" t="s">
        <v>20</v>
      </c>
      <c r="E266" s="12">
        <v>119</v>
      </c>
      <c r="F266" s="12">
        <v>45</v>
      </c>
      <c r="G266" s="12">
        <v>6570</v>
      </c>
      <c r="H266" s="12">
        <v>1856</v>
      </c>
      <c r="I266" s="12" t="s">
        <v>23</v>
      </c>
      <c r="J266" s="12">
        <v>4714</v>
      </c>
      <c r="K266" s="13">
        <f t="shared" si="4"/>
        <v>104.75555555555556</v>
      </c>
    </row>
    <row r="267" spans="1:11" x14ac:dyDescent="0.25">
      <c r="A267" s="8">
        <v>45557</v>
      </c>
      <c r="B267" s="9" t="s">
        <v>35</v>
      </c>
      <c r="C267" s="9" t="s">
        <v>12</v>
      </c>
      <c r="D267" s="9" t="s">
        <v>13</v>
      </c>
      <c r="E267" s="9">
        <v>34</v>
      </c>
      <c r="F267" s="9">
        <v>31</v>
      </c>
      <c r="G267" s="9">
        <v>14260</v>
      </c>
      <c r="H267" s="9">
        <v>6919</v>
      </c>
      <c r="I267" s="9" t="s">
        <v>21</v>
      </c>
      <c r="J267" s="9">
        <v>7341</v>
      </c>
      <c r="K267" s="10">
        <f t="shared" si="4"/>
        <v>236.80645161290323</v>
      </c>
    </row>
    <row r="268" spans="1:11" x14ac:dyDescent="0.25">
      <c r="A268" s="11">
        <v>45558</v>
      </c>
      <c r="B268" s="12" t="s">
        <v>35</v>
      </c>
      <c r="C268" s="12" t="s">
        <v>17</v>
      </c>
      <c r="D268" s="12" t="s">
        <v>18</v>
      </c>
      <c r="E268" s="12">
        <v>63</v>
      </c>
      <c r="F268" s="12">
        <v>55</v>
      </c>
      <c r="G268" s="12">
        <v>9130</v>
      </c>
      <c r="H268" s="12">
        <v>2323</v>
      </c>
      <c r="I268" s="12" t="s">
        <v>27</v>
      </c>
      <c r="J268" s="12">
        <v>6807</v>
      </c>
      <c r="K268" s="13">
        <f t="shared" si="4"/>
        <v>123.76363636363637</v>
      </c>
    </row>
    <row r="269" spans="1:11" x14ac:dyDescent="0.25">
      <c r="A269" s="8">
        <v>45559</v>
      </c>
      <c r="B269" s="9" t="s">
        <v>35</v>
      </c>
      <c r="C269" s="9" t="s">
        <v>22</v>
      </c>
      <c r="D269" s="9" t="s">
        <v>18</v>
      </c>
      <c r="E269" s="9">
        <v>48</v>
      </c>
      <c r="F269" s="9">
        <v>20</v>
      </c>
      <c r="G269" s="9">
        <v>7700</v>
      </c>
      <c r="H269" s="9">
        <v>1602</v>
      </c>
      <c r="I269" s="9" t="s">
        <v>21</v>
      </c>
      <c r="J269" s="9">
        <v>6098</v>
      </c>
      <c r="K269" s="10">
        <f t="shared" si="4"/>
        <v>304.89999999999998</v>
      </c>
    </row>
    <row r="270" spans="1:11" x14ac:dyDescent="0.25">
      <c r="A270" s="11">
        <v>45560</v>
      </c>
      <c r="B270" s="12" t="s">
        <v>35</v>
      </c>
      <c r="C270" s="12" t="s">
        <v>15</v>
      </c>
      <c r="D270" s="12" t="s">
        <v>13</v>
      </c>
      <c r="E270" s="12">
        <v>109</v>
      </c>
      <c r="F270" s="12">
        <v>84</v>
      </c>
      <c r="G270" s="12">
        <v>30828</v>
      </c>
      <c r="H270" s="12">
        <v>15232</v>
      </c>
      <c r="I270" s="12" t="s">
        <v>14</v>
      </c>
      <c r="J270" s="12">
        <v>15596</v>
      </c>
      <c r="K270" s="13">
        <f t="shared" si="4"/>
        <v>185.66666666666666</v>
      </c>
    </row>
    <row r="271" spans="1:11" x14ac:dyDescent="0.25">
      <c r="A271" s="8">
        <v>45561</v>
      </c>
      <c r="B271" s="9" t="s">
        <v>35</v>
      </c>
      <c r="C271" s="9" t="s">
        <v>17</v>
      </c>
      <c r="D271" s="9" t="s">
        <v>18</v>
      </c>
      <c r="E271" s="9">
        <v>28</v>
      </c>
      <c r="F271" s="9">
        <v>21</v>
      </c>
      <c r="G271" s="9">
        <v>3402</v>
      </c>
      <c r="H271" s="9">
        <v>1118</v>
      </c>
      <c r="I271" s="9" t="s">
        <v>21</v>
      </c>
      <c r="J271" s="9">
        <v>2284</v>
      </c>
      <c r="K271" s="10">
        <f t="shared" si="4"/>
        <v>108.76190476190476</v>
      </c>
    </row>
    <row r="272" spans="1:11" x14ac:dyDescent="0.25">
      <c r="A272" s="11">
        <v>45562</v>
      </c>
      <c r="B272" s="12" t="s">
        <v>35</v>
      </c>
      <c r="C272" s="12" t="s">
        <v>15</v>
      </c>
      <c r="D272" s="12" t="s">
        <v>13</v>
      </c>
      <c r="E272" s="12">
        <v>54</v>
      </c>
      <c r="F272" s="12">
        <v>16</v>
      </c>
      <c r="G272" s="12">
        <v>4272</v>
      </c>
      <c r="H272" s="12">
        <v>1578</v>
      </c>
      <c r="I272" s="12" t="s">
        <v>16</v>
      </c>
      <c r="J272" s="12">
        <v>2694</v>
      </c>
      <c r="K272" s="13">
        <f t="shared" si="4"/>
        <v>168.375</v>
      </c>
    </row>
    <row r="273" spans="1:11" x14ac:dyDescent="0.25">
      <c r="A273" s="8">
        <v>45563</v>
      </c>
      <c r="B273" s="9" t="s">
        <v>35</v>
      </c>
      <c r="C273" s="9" t="s">
        <v>17</v>
      </c>
      <c r="D273" s="9" t="s">
        <v>18</v>
      </c>
      <c r="E273" s="9">
        <v>53</v>
      </c>
      <c r="F273" s="9">
        <v>48</v>
      </c>
      <c r="G273" s="9">
        <v>5424</v>
      </c>
      <c r="H273" s="9">
        <v>1788</v>
      </c>
      <c r="I273" s="9" t="s">
        <v>14</v>
      </c>
      <c r="J273" s="9">
        <v>3636</v>
      </c>
      <c r="K273" s="10">
        <f t="shared" si="4"/>
        <v>75.75</v>
      </c>
    </row>
    <row r="274" spans="1:11" x14ac:dyDescent="0.25">
      <c r="A274" s="11">
        <v>45564</v>
      </c>
      <c r="B274" s="12" t="s">
        <v>35</v>
      </c>
      <c r="C274" s="12" t="s">
        <v>24</v>
      </c>
      <c r="D274" s="12" t="s">
        <v>18</v>
      </c>
      <c r="E274" s="12">
        <v>104</v>
      </c>
      <c r="F274" s="12">
        <v>76</v>
      </c>
      <c r="G274" s="12">
        <v>35036</v>
      </c>
      <c r="H274" s="12">
        <v>16416</v>
      </c>
      <c r="I274" s="12" t="s">
        <v>27</v>
      </c>
      <c r="J274" s="12">
        <v>18620</v>
      </c>
      <c r="K274" s="13">
        <f t="shared" si="4"/>
        <v>245</v>
      </c>
    </row>
    <row r="275" spans="1:11" x14ac:dyDescent="0.25">
      <c r="A275" s="8">
        <v>45565</v>
      </c>
      <c r="B275" s="9" t="s">
        <v>35</v>
      </c>
      <c r="C275" s="9" t="s">
        <v>24</v>
      </c>
      <c r="D275" s="9" t="s">
        <v>18</v>
      </c>
      <c r="E275" s="9">
        <v>98</v>
      </c>
      <c r="F275" s="9">
        <v>86</v>
      </c>
      <c r="G275" s="9">
        <v>39732</v>
      </c>
      <c r="H275" s="9">
        <v>8211</v>
      </c>
      <c r="I275" s="9" t="s">
        <v>21</v>
      </c>
      <c r="J275" s="9">
        <v>31521</v>
      </c>
      <c r="K275" s="10">
        <f t="shared" si="4"/>
        <v>366.52325581395348</v>
      </c>
    </row>
    <row r="276" spans="1:11" x14ac:dyDescent="0.25">
      <c r="A276" s="11">
        <v>45566</v>
      </c>
      <c r="B276" s="12" t="s">
        <v>36</v>
      </c>
      <c r="C276" s="12" t="s">
        <v>24</v>
      </c>
      <c r="D276" s="12" t="s">
        <v>18</v>
      </c>
      <c r="E276" s="12">
        <v>44</v>
      </c>
      <c r="F276" s="12">
        <v>33</v>
      </c>
      <c r="G276" s="12">
        <v>13398</v>
      </c>
      <c r="H276" s="12">
        <v>5899</v>
      </c>
      <c r="I276" s="12" t="s">
        <v>27</v>
      </c>
      <c r="J276" s="12">
        <v>7499</v>
      </c>
      <c r="K276" s="13">
        <f t="shared" si="4"/>
        <v>227.24242424242425</v>
      </c>
    </row>
    <row r="277" spans="1:11" x14ac:dyDescent="0.25">
      <c r="A277" s="8">
        <v>45567</v>
      </c>
      <c r="B277" s="9" t="s">
        <v>36</v>
      </c>
      <c r="C277" s="9" t="s">
        <v>24</v>
      </c>
      <c r="D277" s="9" t="s">
        <v>18</v>
      </c>
      <c r="E277" s="9">
        <v>64</v>
      </c>
      <c r="F277" s="9">
        <v>40</v>
      </c>
      <c r="G277" s="9">
        <v>16640</v>
      </c>
      <c r="H277" s="9">
        <v>7384</v>
      </c>
      <c r="I277" s="9" t="s">
        <v>27</v>
      </c>
      <c r="J277" s="9">
        <v>9256</v>
      </c>
      <c r="K277" s="10">
        <f t="shared" si="4"/>
        <v>231.4</v>
      </c>
    </row>
    <row r="278" spans="1:11" x14ac:dyDescent="0.25">
      <c r="A278" s="11">
        <v>45568</v>
      </c>
      <c r="B278" s="12" t="s">
        <v>36</v>
      </c>
      <c r="C278" s="12" t="s">
        <v>25</v>
      </c>
      <c r="D278" s="12" t="s">
        <v>26</v>
      </c>
      <c r="E278" s="12">
        <v>112</v>
      </c>
      <c r="F278" s="12">
        <v>110</v>
      </c>
      <c r="G278" s="12">
        <v>32120</v>
      </c>
      <c r="H278" s="12">
        <v>13213</v>
      </c>
      <c r="I278" s="12" t="s">
        <v>14</v>
      </c>
      <c r="J278" s="12">
        <v>18907</v>
      </c>
      <c r="K278" s="13">
        <f t="shared" si="4"/>
        <v>171.88181818181818</v>
      </c>
    </row>
    <row r="279" spans="1:11" x14ac:dyDescent="0.25">
      <c r="A279" s="8">
        <v>45569</v>
      </c>
      <c r="B279" s="9" t="s">
        <v>36</v>
      </c>
      <c r="C279" s="9" t="s">
        <v>19</v>
      </c>
      <c r="D279" s="9" t="s">
        <v>20</v>
      </c>
      <c r="E279" s="9">
        <v>117</v>
      </c>
      <c r="F279" s="9">
        <v>51</v>
      </c>
      <c r="G279" s="9">
        <v>9333</v>
      </c>
      <c r="H279" s="9">
        <v>4128</v>
      </c>
      <c r="I279" s="9" t="s">
        <v>14</v>
      </c>
      <c r="J279" s="9">
        <v>5205</v>
      </c>
      <c r="K279" s="10">
        <f t="shared" si="4"/>
        <v>102.05882352941177</v>
      </c>
    </row>
    <row r="280" spans="1:11" x14ac:dyDescent="0.25">
      <c r="A280" s="11">
        <v>45570</v>
      </c>
      <c r="B280" s="12" t="s">
        <v>36</v>
      </c>
      <c r="C280" s="12" t="s">
        <v>22</v>
      </c>
      <c r="D280" s="12" t="s">
        <v>18</v>
      </c>
      <c r="E280" s="12">
        <v>97</v>
      </c>
      <c r="F280" s="12">
        <v>37</v>
      </c>
      <c r="G280" s="12">
        <v>6253</v>
      </c>
      <c r="H280" s="12">
        <v>1990</v>
      </c>
      <c r="I280" s="12" t="s">
        <v>23</v>
      </c>
      <c r="J280" s="12">
        <v>4263</v>
      </c>
      <c r="K280" s="13">
        <f t="shared" si="4"/>
        <v>115.21621621621621</v>
      </c>
    </row>
    <row r="281" spans="1:11" x14ac:dyDescent="0.25">
      <c r="A281" s="8">
        <v>45571</v>
      </c>
      <c r="B281" s="9" t="s">
        <v>36</v>
      </c>
      <c r="C281" s="9" t="s">
        <v>22</v>
      </c>
      <c r="D281" s="9" t="s">
        <v>18</v>
      </c>
      <c r="E281" s="9">
        <v>55</v>
      </c>
      <c r="F281" s="9">
        <v>10</v>
      </c>
      <c r="G281" s="9">
        <v>1520</v>
      </c>
      <c r="H281" s="9">
        <v>526</v>
      </c>
      <c r="I281" s="9" t="s">
        <v>14</v>
      </c>
      <c r="J281" s="9">
        <v>994</v>
      </c>
      <c r="K281" s="10">
        <f t="shared" si="4"/>
        <v>99.4</v>
      </c>
    </row>
    <row r="282" spans="1:11" x14ac:dyDescent="0.25">
      <c r="A282" s="11">
        <v>45572</v>
      </c>
      <c r="B282" s="12" t="s">
        <v>36</v>
      </c>
      <c r="C282" s="12" t="s">
        <v>25</v>
      </c>
      <c r="D282" s="12" t="s">
        <v>26</v>
      </c>
      <c r="E282" s="12">
        <v>97</v>
      </c>
      <c r="F282" s="12">
        <v>10</v>
      </c>
      <c r="G282" s="12">
        <v>4760</v>
      </c>
      <c r="H282" s="12">
        <v>1590</v>
      </c>
      <c r="I282" s="12" t="s">
        <v>23</v>
      </c>
      <c r="J282" s="12">
        <v>3170</v>
      </c>
      <c r="K282" s="13">
        <f t="shared" si="4"/>
        <v>317</v>
      </c>
    </row>
    <row r="283" spans="1:11" x14ac:dyDescent="0.25">
      <c r="A283" s="8">
        <v>45573</v>
      </c>
      <c r="B283" s="9" t="s">
        <v>36</v>
      </c>
      <c r="C283" s="9" t="s">
        <v>24</v>
      </c>
      <c r="D283" s="9" t="s">
        <v>18</v>
      </c>
      <c r="E283" s="9">
        <v>115</v>
      </c>
      <c r="F283" s="9">
        <v>73</v>
      </c>
      <c r="G283" s="9">
        <v>36062</v>
      </c>
      <c r="H283" s="9">
        <v>8463</v>
      </c>
      <c r="I283" s="9" t="s">
        <v>14</v>
      </c>
      <c r="J283" s="9">
        <v>27599</v>
      </c>
      <c r="K283" s="10">
        <f t="shared" si="4"/>
        <v>378.06849315068496</v>
      </c>
    </row>
    <row r="284" spans="1:11" x14ac:dyDescent="0.25">
      <c r="A284" s="11">
        <v>45574</v>
      </c>
      <c r="B284" s="12" t="s">
        <v>36</v>
      </c>
      <c r="C284" s="12" t="s">
        <v>25</v>
      </c>
      <c r="D284" s="12" t="s">
        <v>26</v>
      </c>
      <c r="E284" s="12">
        <v>97</v>
      </c>
      <c r="F284" s="12">
        <v>58</v>
      </c>
      <c r="G284" s="12">
        <v>26854</v>
      </c>
      <c r="H284" s="12">
        <v>10702</v>
      </c>
      <c r="I284" s="12" t="s">
        <v>23</v>
      </c>
      <c r="J284" s="12">
        <v>16152</v>
      </c>
      <c r="K284" s="13">
        <f t="shared" si="4"/>
        <v>278.48275862068965</v>
      </c>
    </row>
    <row r="285" spans="1:11" x14ac:dyDescent="0.25">
      <c r="A285" s="8">
        <v>45575</v>
      </c>
      <c r="B285" s="9" t="s">
        <v>36</v>
      </c>
      <c r="C285" s="9" t="s">
        <v>25</v>
      </c>
      <c r="D285" s="9" t="s">
        <v>26</v>
      </c>
      <c r="E285" s="9">
        <v>94</v>
      </c>
      <c r="F285" s="9">
        <v>45</v>
      </c>
      <c r="G285" s="9">
        <v>7110</v>
      </c>
      <c r="H285" s="9">
        <v>2753</v>
      </c>
      <c r="I285" s="9" t="s">
        <v>14</v>
      </c>
      <c r="J285" s="9">
        <v>4357</v>
      </c>
      <c r="K285" s="10">
        <f t="shared" si="4"/>
        <v>96.822222222222223</v>
      </c>
    </row>
    <row r="286" spans="1:11" x14ac:dyDescent="0.25">
      <c r="A286" s="11">
        <v>45576</v>
      </c>
      <c r="B286" s="12" t="s">
        <v>36</v>
      </c>
      <c r="C286" s="12" t="s">
        <v>12</v>
      </c>
      <c r="D286" s="12" t="s">
        <v>13</v>
      </c>
      <c r="E286" s="12">
        <v>105</v>
      </c>
      <c r="F286" s="12">
        <v>65</v>
      </c>
      <c r="G286" s="12">
        <v>23985</v>
      </c>
      <c r="H286" s="12">
        <v>10584</v>
      </c>
      <c r="I286" s="12" t="s">
        <v>14</v>
      </c>
      <c r="J286" s="12">
        <v>13401</v>
      </c>
      <c r="K286" s="13">
        <f t="shared" si="4"/>
        <v>206.16923076923078</v>
      </c>
    </row>
    <row r="287" spans="1:11" x14ac:dyDescent="0.25">
      <c r="A287" s="8">
        <v>45577</v>
      </c>
      <c r="B287" s="9" t="s">
        <v>36</v>
      </c>
      <c r="C287" s="9" t="s">
        <v>15</v>
      </c>
      <c r="D287" s="9" t="s">
        <v>13</v>
      </c>
      <c r="E287" s="9">
        <v>115</v>
      </c>
      <c r="F287" s="9">
        <v>113</v>
      </c>
      <c r="G287" s="9">
        <v>17289</v>
      </c>
      <c r="H287" s="9">
        <v>6219</v>
      </c>
      <c r="I287" s="9" t="s">
        <v>16</v>
      </c>
      <c r="J287" s="9">
        <v>11070</v>
      </c>
      <c r="K287" s="10">
        <f t="shared" si="4"/>
        <v>97.964601769911511</v>
      </c>
    </row>
    <row r="288" spans="1:11" x14ac:dyDescent="0.25">
      <c r="A288" s="11">
        <v>45578</v>
      </c>
      <c r="B288" s="12" t="s">
        <v>36</v>
      </c>
      <c r="C288" s="12" t="s">
        <v>19</v>
      </c>
      <c r="D288" s="12" t="s">
        <v>20</v>
      </c>
      <c r="E288" s="12">
        <v>57</v>
      </c>
      <c r="F288" s="12">
        <v>46</v>
      </c>
      <c r="G288" s="12">
        <v>9246</v>
      </c>
      <c r="H288" s="12">
        <v>2529</v>
      </c>
      <c r="I288" s="12" t="s">
        <v>21</v>
      </c>
      <c r="J288" s="12">
        <v>6717</v>
      </c>
      <c r="K288" s="13">
        <f t="shared" si="4"/>
        <v>146.02173913043478</v>
      </c>
    </row>
    <row r="289" spans="1:11" x14ac:dyDescent="0.25">
      <c r="A289" s="8">
        <v>45579</v>
      </c>
      <c r="B289" s="9" t="s">
        <v>36</v>
      </c>
      <c r="C289" s="9" t="s">
        <v>24</v>
      </c>
      <c r="D289" s="9" t="s">
        <v>18</v>
      </c>
      <c r="E289" s="9">
        <v>26</v>
      </c>
      <c r="F289" s="9">
        <v>10</v>
      </c>
      <c r="G289" s="9">
        <v>1780</v>
      </c>
      <c r="H289" s="9">
        <v>751</v>
      </c>
      <c r="I289" s="9" t="s">
        <v>27</v>
      </c>
      <c r="J289" s="9">
        <v>1029</v>
      </c>
      <c r="K289" s="10">
        <f t="shared" si="4"/>
        <v>102.9</v>
      </c>
    </row>
    <row r="290" spans="1:11" x14ac:dyDescent="0.25">
      <c r="A290" s="11">
        <v>45580</v>
      </c>
      <c r="B290" s="12" t="s">
        <v>36</v>
      </c>
      <c r="C290" s="12" t="s">
        <v>17</v>
      </c>
      <c r="D290" s="12" t="s">
        <v>18</v>
      </c>
      <c r="E290" s="12">
        <v>61</v>
      </c>
      <c r="F290" s="12">
        <v>42</v>
      </c>
      <c r="G290" s="12">
        <v>6132</v>
      </c>
      <c r="H290" s="12">
        <v>2534</v>
      </c>
      <c r="I290" s="12" t="s">
        <v>23</v>
      </c>
      <c r="J290" s="12">
        <v>3598</v>
      </c>
      <c r="K290" s="13">
        <f t="shared" si="4"/>
        <v>85.666666666666671</v>
      </c>
    </row>
    <row r="291" spans="1:11" x14ac:dyDescent="0.25">
      <c r="A291" s="8">
        <v>45581</v>
      </c>
      <c r="B291" s="9" t="s">
        <v>36</v>
      </c>
      <c r="C291" s="9" t="s">
        <v>25</v>
      </c>
      <c r="D291" s="9" t="s">
        <v>26</v>
      </c>
      <c r="E291" s="9">
        <v>73</v>
      </c>
      <c r="F291" s="9">
        <v>18</v>
      </c>
      <c r="G291" s="9">
        <v>2610</v>
      </c>
      <c r="H291" s="9">
        <v>637</v>
      </c>
      <c r="I291" s="9" t="s">
        <v>14</v>
      </c>
      <c r="J291" s="9">
        <v>1973</v>
      </c>
      <c r="K291" s="10">
        <f t="shared" si="4"/>
        <v>109.61111111111111</v>
      </c>
    </row>
    <row r="292" spans="1:11" x14ac:dyDescent="0.25">
      <c r="A292" s="11">
        <v>45582</v>
      </c>
      <c r="B292" s="12" t="s">
        <v>36</v>
      </c>
      <c r="C292" s="12" t="s">
        <v>17</v>
      </c>
      <c r="D292" s="12" t="s">
        <v>18</v>
      </c>
      <c r="E292" s="12">
        <v>100</v>
      </c>
      <c r="F292" s="12">
        <v>10</v>
      </c>
      <c r="G292" s="12">
        <v>3300</v>
      </c>
      <c r="H292" s="12">
        <v>1452</v>
      </c>
      <c r="I292" s="12" t="s">
        <v>16</v>
      </c>
      <c r="J292" s="12">
        <v>1848</v>
      </c>
      <c r="K292" s="13">
        <f t="shared" si="4"/>
        <v>184.8</v>
      </c>
    </row>
    <row r="293" spans="1:11" x14ac:dyDescent="0.25">
      <c r="A293" s="8">
        <v>45583</v>
      </c>
      <c r="B293" s="9" t="s">
        <v>36</v>
      </c>
      <c r="C293" s="9" t="s">
        <v>25</v>
      </c>
      <c r="D293" s="9" t="s">
        <v>26</v>
      </c>
      <c r="E293" s="9">
        <v>21</v>
      </c>
      <c r="F293" s="9">
        <v>17</v>
      </c>
      <c r="G293" s="9">
        <v>4760</v>
      </c>
      <c r="H293" s="9">
        <v>1636</v>
      </c>
      <c r="I293" s="9" t="s">
        <v>14</v>
      </c>
      <c r="J293" s="9">
        <v>3124</v>
      </c>
      <c r="K293" s="10">
        <f t="shared" si="4"/>
        <v>183.76470588235293</v>
      </c>
    </row>
    <row r="294" spans="1:11" x14ac:dyDescent="0.25">
      <c r="A294" s="11">
        <v>45584</v>
      </c>
      <c r="B294" s="12" t="s">
        <v>36</v>
      </c>
      <c r="C294" s="12" t="s">
        <v>19</v>
      </c>
      <c r="D294" s="12" t="s">
        <v>20</v>
      </c>
      <c r="E294" s="12">
        <v>91</v>
      </c>
      <c r="F294" s="12">
        <v>46</v>
      </c>
      <c r="G294" s="12">
        <v>19366</v>
      </c>
      <c r="H294" s="12">
        <v>9000</v>
      </c>
      <c r="I294" s="12" t="s">
        <v>16</v>
      </c>
      <c r="J294" s="12">
        <v>10366</v>
      </c>
      <c r="K294" s="13">
        <f t="shared" si="4"/>
        <v>225.34782608695653</v>
      </c>
    </row>
    <row r="295" spans="1:11" x14ac:dyDescent="0.25">
      <c r="A295" s="8">
        <v>45585</v>
      </c>
      <c r="B295" s="9" t="s">
        <v>36</v>
      </c>
      <c r="C295" s="9" t="s">
        <v>24</v>
      </c>
      <c r="D295" s="9" t="s">
        <v>18</v>
      </c>
      <c r="E295" s="9">
        <v>87</v>
      </c>
      <c r="F295" s="9">
        <v>72</v>
      </c>
      <c r="G295" s="9">
        <v>35784</v>
      </c>
      <c r="H295" s="9">
        <v>10344</v>
      </c>
      <c r="I295" s="9" t="s">
        <v>23</v>
      </c>
      <c r="J295" s="9">
        <v>25440</v>
      </c>
      <c r="K295" s="10">
        <f t="shared" si="4"/>
        <v>353.33333333333331</v>
      </c>
    </row>
    <row r="296" spans="1:11" x14ac:dyDescent="0.25">
      <c r="A296" s="11">
        <v>45586</v>
      </c>
      <c r="B296" s="12" t="s">
        <v>36</v>
      </c>
      <c r="C296" s="12" t="s">
        <v>22</v>
      </c>
      <c r="D296" s="12" t="s">
        <v>18</v>
      </c>
      <c r="E296" s="12">
        <v>91</v>
      </c>
      <c r="F296" s="12">
        <v>86</v>
      </c>
      <c r="G296" s="12">
        <v>25714</v>
      </c>
      <c r="H296" s="12">
        <v>9157</v>
      </c>
      <c r="I296" s="12" t="s">
        <v>21</v>
      </c>
      <c r="J296" s="12">
        <v>16557</v>
      </c>
      <c r="K296" s="13">
        <f t="shared" si="4"/>
        <v>192.52325581395348</v>
      </c>
    </row>
    <row r="297" spans="1:11" x14ac:dyDescent="0.25">
      <c r="A297" s="8">
        <v>45587</v>
      </c>
      <c r="B297" s="9" t="s">
        <v>36</v>
      </c>
      <c r="C297" s="9" t="s">
        <v>24</v>
      </c>
      <c r="D297" s="9" t="s">
        <v>18</v>
      </c>
      <c r="E297" s="9">
        <v>119</v>
      </c>
      <c r="F297" s="9">
        <v>21</v>
      </c>
      <c r="G297" s="9">
        <v>7371</v>
      </c>
      <c r="H297" s="9">
        <v>2685</v>
      </c>
      <c r="I297" s="9" t="s">
        <v>23</v>
      </c>
      <c r="J297" s="9">
        <v>4686</v>
      </c>
      <c r="K297" s="10">
        <f t="shared" si="4"/>
        <v>223.14285714285714</v>
      </c>
    </row>
    <row r="298" spans="1:11" x14ac:dyDescent="0.25">
      <c r="A298" s="11">
        <v>45588</v>
      </c>
      <c r="B298" s="12" t="s">
        <v>36</v>
      </c>
      <c r="C298" s="12" t="s">
        <v>24</v>
      </c>
      <c r="D298" s="12" t="s">
        <v>18</v>
      </c>
      <c r="E298" s="12">
        <v>22</v>
      </c>
      <c r="F298" s="12">
        <v>19</v>
      </c>
      <c r="G298" s="12">
        <v>2337</v>
      </c>
      <c r="H298" s="12">
        <v>676</v>
      </c>
      <c r="I298" s="12" t="s">
        <v>21</v>
      </c>
      <c r="J298" s="12">
        <v>1661</v>
      </c>
      <c r="K298" s="13">
        <f t="shared" si="4"/>
        <v>87.421052631578945</v>
      </c>
    </row>
    <row r="299" spans="1:11" x14ac:dyDescent="0.25">
      <c r="A299" s="8">
        <v>45589</v>
      </c>
      <c r="B299" s="9" t="s">
        <v>36</v>
      </c>
      <c r="C299" s="9" t="s">
        <v>15</v>
      </c>
      <c r="D299" s="9" t="s">
        <v>13</v>
      </c>
      <c r="E299" s="9">
        <v>96</v>
      </c>
      <c r="F299" s="9">
        <v>80</v>
      </c>
      <c r="G299" s="9">
        <v>13040</v>
      </c>
      <c r="H299" s="9">
        <v>3842</v>
      </c>
      <c r="I299" s="9" t="s">
        <v>23</v>
      </c>
      <c r="J299" s="9">
        <v>9198</v>
      </c>
      <c r="K299" s="10">
        <f t="shared" si="4"/>
        <v>114.97499999999999</v>
      </c>
    </row>
    <row r="300" spans="1:11" x14ac:dyDescent="0.25">
      <c r="A300" s="11">
        <v>45590</v>
      </c>
      <c r="B300" s="12" t="s">
        <v>36</v>
      </c>
      <c r="C300" s="12" t="s">
        <v>12</v>
      </c>
      <c r="D300" s="12" t="s">
        <v>13</v>
      </c>
      <c r="E300" s="12">
        <v>41</v>
      </c>
      <c r="F300" s="12">
        <v>30</v>
      </c>
      <c r="G300" s="12">
        <v>8490</v>
      </c>
      <c r="H300" s="12">
        <v>3628</v>
      </c>
      <c r="I300" s="12" t="s">
        <v>21</v>
      </c>
      <c r="J300" s="12">
        <v>4862</v>
      </c>
      <c r="K300" s="13">
        <f t="shared" si="4"/>
        <v>162.06666666666666</v>
      </c>
    </row>
    <row r="301" spans="1:11" x14ac:dyDescent="0.25">
      <c r="A301" s="8">
        <v>45591</v>
      </c>
      <c r="B301" s="9" t="s">
        <v>36</v>
      </c>
      <c r="C301" s="9" t="s">
        <v>24</v>
      </c>
      <c r="D301" s="9" t="s">
        <v>18</v>
      </c>
      <c r="E301" s="9">
        <v>96</v>
      </c>
      <c r="F301" s="9">
        <v>80</v>
      </c>
      <c r="G301" s="9">
        <v>17600</v>
      </c>
      <c r="H301" s="9">
        <v>6214</v>
      </c>
      <c r="I301" s="9" t="s">
        <v>23</v>
      </c>
      <c r="J301" s="9">
        <v>11386</v>
      </c>
      <c r="K301" s="10">
        <f t="shared" si="4"/>
        <v>142.32499999999999</v>
      </c>
    </row>
    <row r="302" spans="1:11" x14ac:dyDescent="0.25">
      <c r="A302" s="11">
        <v>45592</v>
      </c>
      <c r="B302" s="12" t="s">
        <v>36</v>
      </c>
      <c r="C302" s="12" t="s">
        <v>12</v>
      </c>
      <c r="D302" s="12" t="s">
        <v>13</v>
      </c>
      <c r="E302" s="12">
        <v>97</v>
      </c>
      <c r="F302" s="12">
        <v>12</v>
      </c>
      <c r="G302" s="12">
        <v>4056</v>
      </c>
      <c r="H302" s="12">
        <v>1139</v>
      </c>
      <c r="I302" s="12" t="s">
        <v>27</v>
      </c>
      <c r="J302" s="12">
        <v>2917</v>
      </c>
      <c r="K302" s="13">
        <f t="shared" si="4"/>
        <v>243.08333333333334</v>
      </c>
    </row>
    <row r="303" spans="1:11" x14ac:dyDescent="0.25">
      <c r="A303" s="8">
        <v>45593</v>
      </c>
      <c r="B303" s="9" t="s">
        <v>36</v>
      </c>
      <c r="C303" s="9" t="s">
        <v>17</v>
      </c>
      <c r="D303" s="9" t="s">
        <v>18</v>
      </c>
      <c r="E303" s="9">
        <v>53</v>
      </c>
      <c r="F303" s="9">
        <v>26</v>
      </c>
      <c r="G303" s="9">
        <v>6474</v>
      </c>
      <c r="H303" s="9">
        <v>2316</v>
      </c>
      <c r="I303" s="9" t="s">
        <v>21</v>
      </c>
      <c r="J303" s="9">
        <v>4158</v>
      </c>
      <c r="K303" s="10">
        <f t="shared" si="4"/>
        <v>159.92307692307693</v>
      </c>
    </row>
    <row r="304" spans="1:11" x14ac:dyDescent="0.25">
      <c r="A304" s="11">
        <v>45594</v>
      </c>
      <c r="B304" s="12" t="s">
        <v>36</v>
      </c>
      <c r="C304" s="12" t="s">
        <v>19</v>
      </c>
      <c r="D304" s="12" t="s">
        <v>20</v>
      </c>
      <c r="E304" s="12">
        <v>120</v>
      </c>
      <c r="F304" s="12">
        <v>93</v>
      </c>
      <c r="G304" s="12">
        <v>25761</v>
      </c>
      <c r="H304" s="12">
        <v>5481</v>
      </c>
      <c r="I304" s="12" t="s">
        <v>14</v>
      </c>
      <c r="J304" s="12">
        <v>20280</v>
      </c>
      <c r="K304" s="13">
        <f t="shared" si="4"/>
        <v>218.06451612903226</v>
      </c>
    </row>
    <row r="305" spans="1:11" x14ac:dyDescent="0.25">
      <c r="A305" s="8">
        <v>45595</v>
      </c>
      <c r="B305" s="9" t="s">
        <v>36</v>
      </c>
      <c r="C305" s="9" t="s">
        <v>19</v>
      </c>
      <c r="D305" s="9" t="s">
        <v>20</v>
      </c>
      <c r="E305" s="9">
        <v>99</v>
      </c>
      <c r="F305" s="9">
        <v>46</v>
      </c>
      <c r="G305" s="9">
        <v>5060</v>
      </c>
      <c r="H305" s="9">
        <v>2249</v>
      </c>
      <c r="I305" s="9" t="s">
        <v>16</v>
      </c>
      <c r="J305" s="9">
        <v>2811</v>
      </c>
      <c r="K305" s="10">
        <f t="shared" si="4"/>
        <v>61.108695652173914</v>
      </c>
    </row>
    <row r="306" spans="1:11" x14ac:dyDescent="0.25">
      <c r="A306" s="11">
        <v>45596</v>
      </c>
      <c r="B306" s="12" t="s">
        <v>36</v>
      </c>
      <c r="C306" s="12" t="s">
        <v>17</v>
      </c>
      <c r="D306" s="12" t="s">
        <v>18</v>
      </c>
      <c r="E306" s="12">
        <v>96</v>
      </c>
      <c r="F306" s="12">
        <v>16</v>
      </c>
      <c r="G306" s="12">
        <v>5296</v>
      </c>
      <c r="H306" s="12">
        <v>2382</v>
      </c>
      <c r="I306" s="12" t="s">
        <v>23</v>
      </c>
      <c r="J306" s="12">
        <v>2914</v>
      </c>
      <c r="K306" s="13">
        <f t="shared" si="4"/>
        <v>182.125</v>
      </c>
    </row>
    <row r="307" spans="1:11" x14ac:dyDescent="0.25">
      <c r="A307" s="8">
        <v>45597</v>
      </c>
      <c r="B307" s="9" t="s">
        <v>37</v>
      </c>
      <c r="C307" s="9" t="s">
        <v>15</v>
      </c>
      <c r="D307" s="9" t="s">
        <v>13</v>
      </c>
      <c r="E307" s="9">
        <v>43</v>
      </c>
      <c r="F307" s="9">
        <v>23</v>
      </c>
      <c r="G307" s="9">
        <v>5290</v>
      </c>
      <c r="H307" s="9">
        <v>2369</v>
      </c>
      <c r="I307" s="9" t="s">
        <v>14</v>
      </c>
      <c r="J307" s="9">
        <v>2921</v>
      </c>
      <c r="K307" s="10">
        <f t="shared" si="4"/>
        <v>127</v>
      </c>
    </row>
    <row r="308" spans="1:11" x14ac:dyDescent="0.25">
      <c r="A308" s="11">
        <v>45598</v>
      </c>
      <c r="B308" s="12" t="s">
        <v>37</v>
      </c>
      <c r="C308" s="12" t="s">
        <v>24</v>
      </c>
      <c r="D308" s="12" t="s">
        <v>18</v>
      </c>
      <c r="E308" s="12">
        <v>54</v>
      </c>
      <c r="F308" s="12">
        <v>16</v>
      </c>
      <c r="G308" s="12">
        <v>4240</v>
      </c>
      <c r="H308" s="12">
        <v>1250</v>
      </c>
      <c r="I308" s="12" t="s">
        <v>21</v>
      </c>
      <c r="J308" s="12">
        <v>2990</v>
      </c>
      <c r="K308" s="13">
        <f t="shared" si="4"/>
        <v>186.875</v>
      </c>
    </row>
    <row r="309" spans="1:11" x14ac:dyDescent="0.25">
      <c r="A309" s="8">
        <v>45599</v>
      </c>
      <c r="B309" s="9" t="s">
        <v>37</v>
      </c>
      <c r="C309" s="9" t="s">
        <v>25</v>
      </c>
      <c r="D309" s="9" t="s">
        <v>26</v>
      </c>
      <c r="E309" s="9">
        <v>73</v>
      </c>
      <c r="F309" s="9">
        <v>32</v>
      </c>
      <c r="G309" s="9">
        <v>12096</v>
      </c>
      <c r="H309" s="9">
        <v>2794</v>
      </c>
      <c r="I309" s="9" t="s">
        <v>23</v>
      </c>
      <c r="J309" s="9">
        <v>9302</v>
      </c>
      <c r="K309" s="10">
        <f t="shared" si="4"/>
        <v>290.6875</v>
      </c>
    </row>
    <row r="310" spans="1:11" x14ac:dyDescent="0.25">
      <c r="A310" s="11">
        <v>45600</v>
      </c>
      <c r="B310" s="12" t="s">
        <v>37</v>
      </c>
      <c r="C310" s="12" t="s">
        <v>12</v>
      </c>
      <c r="D310" s="12" t="s">
        <v>13</v>
      </c>
      <c r="E310" s="12">
        <v>76</v>
      </c>
      <c r="F310" s="12">
        <v>58</v>
      </c>
      <c r="G310" s="12">
        <v>10556</v>
      </c>
      <c r="H310" s="12">
        <v>4843</v>
      </c>
      <c r="I310" s="12" t="s">
        <v>16</v>
      </c>
      <c r="J310" s="12">
        <v>5713</v>
      </c>
      <c r="K310" s="13">
        <f t="shared" si="4"/>
        <v>98.5</v>
      </c>
    </row>
    <row r="311" spans="1:11" x14ac:dyDescent="0.25">
      <c r="A311" s="8">
        <v>45601</v>
      </c>
      <c r="B311" s="9" t="s">
        <v>37</v>
      </c>
      <c r="C311" s="9" t="s">
        <v>12</v>
      </c>
      <c r="D311" s="9" t="s">
        <v>13</v>
      </c>
      <c r="E311" s="9">
        <v>99</v>
      </c>
      <c r="F311" s="9">
        <v>64</v>
      </c>
      <c r="G311" s="9">
        <v>21056</v>
      </c>
      <c r="H311" s="9">
        <v>4475</v>
      </c>
      <c r="I311" s="9" t="s">
        <v>14</v>
      </c>
      <c r="J311" s="9">
        <v>16581</v>
      </c>
      <c r="K311" s="10">
        <f t="shared" si="4"/>
        <v>259.078125</v>
      </c>
    </row>
    <row r="312" spans="1:11" x14ac:dyDescent="0.25">
      <c r="A312" s="11">
        <v>45602</v>
      </c>
      <c r="B312" s="12" t="s">
        <v>37</v>
      </c>
      <c r="C312" s="12" t="s">
        <v>25</v>
      </c>
      <c r="D312" s="12" t="s">
        <v>26</v>
      </c>
      <c r="E312" s="12">
        <v>116</v>
      </c>
      <c r="F312" s="12">
        <v>107</v>
      </c>
      <c r="G312" s="12">
        <v>36487</v>
      </c>
      <c r="H312" s="12">
        <v>16188</v>
      </c>
      <c r="I312" s="12" t="s">
        <v>16</v>
      </c>
      <c r="J312" s="12">
        <v>20299</v>
      </c>
      <c r="K312" s="13">
        <f t="shared" si="4"/>
        <v>189.71028037383178</v>
      </c>
    </row>
    <row r="313" spans="1:11" x14ac:dyDescent="0.25">
      <c r="A313" s="8">
        <v>45603</v>
      </c>
      <c r="B313" s="9" t="s">
        <v>37</v>
      </c>
      <c r="C313" s="9" t="s">
        <v>19</v>
      </c>
      <c r="D313" s="9" t="s">
        <v>20</v>
      </c>
      <c r="E313" s="9">
        <v>48</v>
      </c>
      <c r="F313" s="9">
        <v>21</v>
      </c>
      <c r="G313" s="9">
        <v>9114</v>
      </c>
      <c r="H313" s="9">
        <v>3962</v>
      </c>
      <c r="I313" s="9" t="s">
        <v>14</v>
      </c>
      <c r="J313" s="9">
        <v>5152</v>
      </c>
      <c r="K313" s="10">
        <f t="shared" si="4"/>
        <v>245.33333333333334</v>
      </c>
    </row>
    <row r="314" spans="1:11" x14ac:dyDescent="0.25">
      <c r="A314" s="11">
        <v>45604</v>
      </c>
      <c r="B314" s="12" t="s">
        <v>37</v>
      </c>
      <c r="C314" s="12" t="s">
        <v>19</v>
      </c>
      <c r="D314" s="12" t="s">
        <v>20</v>
      </c>
      <c r="E314" s="12">
        <v>35</v>
      </c>
      <c r="F314" s="12">
        <v>11</v>
      </c>
      <c r="G314" s="12">
        <v>3333</v>
      </c>
      <c r="H314" s="12">
        <v>1215</v>
      </c>
      <c r="I314" s="12" t="s">
        <v>23</v>
      </c>
      <c r="J314" s="12">
        <v>2118</v>
      </c>
      <c r="K314" s="13">
        <f t="shared" si="4"/>
        <v>192.54545454545453</v>
      </c>
    </row>
    <row r="315" spans="1:11" x14ac:dyDescent="0.25">
      <c r="A315" s="8">
        <v>45605</v>
      </c>
      <c r="B315" s="9" t="s">
        <v>37</v>
      </c>
      <c r="C315" s="9" t="s">
        <v>15</v>
      </c>
      <c r="D315" s="9" t="s">
        <v>13</v>
      </c>
      <c r="E315" s="9">
        <v>84</v>
      </c>
      <c r="F315" s="9">
        <v>42</v>
      </c>
      <c r="G315" s="9">
        <v>14364</v>
      </c>
      <c r="H315" s="9">
        <v>6841</v>
      </c>
      <c r="I315" s="9" t="s">
        <v>23</v>
      </c>
      <c r="J315" s="9">
        <v>7523</v>
      </c>
      <c r="K315" s="10">
        <f t="shared" si="4"/>
        <v>179.11904761904762</v>
      </c>
    </row>
    <row r="316" spans="1:11" x14ac:dyDescent="0.25">
      <c r="A316" s="11">
        <v>45606</v>
      </c>
      <c r="B316" s="12" t="s">
        <v>37</v>
      </c>
      <c r="C316" s="12" t="s">
        <v>17</v>
      </c>
      <c r="D316" s="12" t="s">
        <v>18</v>
      </c>
      <c r="E316" s="12">
        <v>49</v>
      </c>
      <c r="F316" s="12">
        <v>33</v>
      </c>
      <c r="G316" s="12">
        <v>5742</v>
      </c>
      <c r="H316" s="12">
        <v>1529</v>
      </c>
      <c r="I316" s="12" t="s">
        <v>21</v>
      </c>
      <c r="J316" s="12">
        <v>4213</v>
      </c>
      <c r="K316" s="13">
        <f t="shared" si="4"/>
        <v>127.66666666666667</v>
      </c>
    </row>
    <row r="317" spans="1:11" x14ac:dyDescent="0.25">
      <c r="A317" s="8">
        <v>45607</v>
      </c>
      <c r="B317" s="9" t="s">
        <v>37</v>
      </c>
      <c r="C317" s="9" t="s">
        <v>15</v>
      </c>
      <c r="D317" s="9" t="s">
        <v>13</v>
      </c>
      <c r="E317" s="9">
        <v>59</v>
      </c>
      <c r="F317" s="9">
        <v>42</v>
      </c>
      <c r="G317" s="9">
        <v>5292</v>
      </c>
      <c r="H317" s="9">
        <v>1446</v>
      </c>
      <c r="I317" s="9" t="s">
        <v>16</v>
      </c>
      <c r="J317" s="9">
        <v>3846</v>
      </c>
      <c r="K317" s="10">
        <f t="shared" si="4"/>
        <v>91.571428571428569</v>
      </c>
    </row>
    <row r="318" spans="1:11" x14ac:dyDescent="0.25">
      <c r="A318" s="11">
        <v>45608</v>
      </c>
      <c r="B318" s="12" t="s">
        <v>37</v>
      </c>
      <c r="C318" s="12" t="s">
        <v>25</v>
      </c>
      <c r="D318" s="12" t="s">
        <v>26</v>
      </c>
      <c r="E318" s="12">
        <v>82</v>
      </c>
      <c r="F318" s="12">
        <v>45</v>
      </c>
      <c r="G318" s="12">
        <v>8325</v>
      </c>
      <c r="H318" s="12">
        <v>3385</v>
      </c>
      <c r="I318" s="12" t="s">
        <v>14</v>
      </c>
      <c r="J318" s="12">
        <v>4940</v>
      </c>
      <c r="K318" s="13">
        <f t="shared" si="4"/>
        <v>109.77777777777777</v>
      </c>
    </row>
    <row r="319" spans="1:11" x14ac:dyDescent="0.25">
      <c r="A319" s="8">
        <v>45609</v>
      </c>
      <c r="B319" s="9" t="s">
        <v>37</v>
      </c>
      <c r="C319" s="9" t="s">
        <v>17</v>
      </c>
      <c r="D319" s="9" t="s">
        <v>18</v>
      </c>
      <c r="E319" s="9">
        <v>113</v>
      </c>
      <c r="F319" s="9">
        <v>14</v>
      </c>
      <c r="G319" s="9">
        <v>2240</v>
      </c>
      <c r="H319" s="9">
        <v>609</v>
      </c>
      <c r="I319" s="9" t="s">
        <v>23</v>
      </c>
      <c r="J319" s="9">
        <v>1631</v>
      </c>
      <c r="K319" s="10">
        <f t="shared" si="4"/>
        <v>116.5</v>
      </c>
    </row>
    <row r="320" spans="1:11" x14ac:dyDescent="0.25">
      <c r="A320" s="11">
        <v>45610</v>
      </c>
      <c r="B320" s="12" t="s">
        <v>37</v>
      </c>
      <c r="C320" s="12" t="s">
        <v>15</v>
      </c>
      <c r="D320" s="12" t="s">
        <v>13</v>
      </c>
      <c r="E320" s="12">
        <v>54</v>
      </c>
      <c r="F320" s="12">
        <v>13</v>
      </c>
      <c r="G320" s="12">
        <v>3523</v>
      </c>
      <c r="H320" s="12">
        <v>984</v>
      </c>
      <c r="I320" s="12" t="s">
        <v>23</v>
      </c>
      <c r="J320" s="12">
        <v>2539</v>
      </c>
      <c r="K320" s="13">
        <f t="shared" si="4"/>
        <v>195.30769230769232</v>
      </c>
    </row>
    <row r="321" spans="1:11" x14ac:dyDescent="0.25">
      <c r="A321" s="8">
        <v>45611</v>
      </c>
      <c r="B321" s="9" t="s">
        <v>37</v>
      </c>
      <c r="C321" s="9" t="s">
        <v>19</v>
      </c>
      <c r="D321" s="9" t="s">
        <v>20</v>
      </c>
      <c r="E321" s="9">
        <v>58</v>
      </c>
      <c r="F321" s="9">
        <v>38</v>
      </c>
      <c r="G321" s="9">
        <v>8132</v>
      </c>
      <c r="H321" s="9">
        <v>2042</v>
      </c>
      <c r="I321" s="9" t="s">
        <v>27</v>
      </c>
      <c r="J321" s="9">
        <v>6090</v>
      </c>
      <c r="K321" s="10">
        <f t="shared" si="4"/>
        <v>160.26315789473685</v>
      </c>
    </row>
    <row r="322" spans="1:11" x14ac:dyDescent="0.25">
      <c r="A322" s="11">
        <v>45612</v>
      </c>
      <c r="B322" s="12" t="s">
        <v>37</v>
      </c>
      <c r="C322" s="12" t="s">
        <v>12</v>
      </c>
      <c r="D322" s="12" t="s">
        <v>13</v>
      </c>
      <c r="E322" s="12">
        <v>99</v>
      </c>
      <c r="F322" s="12">
        <v>50</v>
      </c>
      <c r="G322" s="12">
        <v>18050</v>
      </c>
      <c r="H322" s="12">
        <v>8891</v>
      </c>
      <c r="I322" s="12" t="s">
        <v>16</v>
      </c>
      <c r="J322" s="12">
        <v>9159</v>
      </c>
      <c r="K322" s="13">
        <f t="shared" ref="K322:K366" si="5">IF(F322=0,0,J322/F322)</f>
        <v>183.18</v>
      </c>
    </row>
    <row r="323" spans="1:11" x14ac:dyDescent="0.25">
      <c r="A323" s="8">
        <v>45613</v>
      </c>
      <c r="B323" s="9" t="s">
        <v>37</v>
      </c>
      <c r="C323" s="9" t="s">
        <v>19</v>
      </c>
      <c r="D323" s="9" t="s">
        <v>20</v>
      </c>
      <c r="E323" s="9">
        <v>67</v>
      </c>
      <c r="F323" s="9">
        <v>66</v>
      </c>
      <c r="G323" s="9">
        <v>25080</v>
      </c>
      <c r="H323" s="9">
        <v>11860</v>
      </c>
      <c r="I323" s="9" t="s">
        <v>14</v>
      </c>
      <c r="J323" s="9">
        <v>13220</v>
      </c>
      <c r="K323" s="10">
        <f t="shared" si="5"/>
        <v>200.30303030303031</v>
      </c>
    </row>
    <row r="324" spans="1:11" x14ac:dyDescent="0.25">
      <c r="A324" s="11">
        <v>45614</v>
      </c>
      <c r="B324" s="12" t="s">
        <v>37</v>
      </c>
      <c r="C324" s="12" t="s">
        <v>17</v>
      </c>
      <c r="D324" s="12" t="s">
        <v>18</v>
      </c>
      <c r="E324" s="12">
        <v>37</v>
      </c>
      <c r="F324" s="12">
        <v>29</v>
      </c>
      <c r="G324" s="12">
        <v>7047</v>
      </c>
      <c r="H324" s="12">
        <v>2705</v>
      </c>
      <c r="I324" s="12" t="s">
        <v>21</v>
      </c>
      <c r="J324" s="12">
        <v>4342</v>
      </c>
      <c r="K324" s="13">
        <f t="shared" si="5"/>
        <v>149.72413793103448</v>
      </c>
    </row>
    <row r="325" spans="1:11" x14ac:dyDescent="0.25">
      <c r="A325" s="8">
        <v>45615</v>
      </c>
      <c r="B325" s="9" t="s">
        <v>37</v>
      </c>
      <c r="C325" s="9" t="s">
        <v>15</v>
      </c>
      <c r="D325" s="9" t="s">
        <v>13</v>
      </c>
      <c r="E325" s="9">
        <v>20</v>
      </c>
      <c r="F325" s="9">
        <v>12</v>
      </c>
      <c r="G325" s="9">
        <v>5916</v>
      </c>
      <c r="H325" s="9">
        <v>1419</v>
      </c>
      <c r="I325" s="9" t="s">
        <v>21</v>
      </c>
      <c r="J325" s="9">
        <v>4497</v>
      </c>
      <c r="K325" s="10">
        <f t="shared" si="5"/>
        <v>374.75</v>
      </c>
    </row>
    <row r="326" spans="1:11" x14ac:dyDescent="0.25">
      <c r="A326" s="11">
        <v>45616</v>
      </c>
      <c r="B326" s="12" t="s">
        <v>37</v>
      </c>
      <c r="C326" s="12" t="s">
        <v>12</v>
      </c>
      <c r="D326" s="12" t="s">
        <v>13</v>
      </c>
      <c r="E326" s="12">
        <v>117</v>
      </c>
      <c r="F326" s="12">
        <v>36</v>
      </c>
      <c r="G326" s="12">
        <v>15228</v>
      </c>
      <c r="H326" s="12">
        <v>5207</v>
      </c>
      <c r="I326" s="12" t="s">
        <v>16</v>
      </c>
      <c r="J326" s="12">
        <v>10021</v>
      </c>
      <c r="K326" s="13">
        <f t="shared" si="5"/>
        <v>278.36111111111109</v>
      </c>
    </row>
    <row r="327" spans="1:11" x14ac:dyDescent="0.25">
      <c r="A327" s="8">
        <v>45617</v>
      </c>
      <c r="B327" s="9" t="s">
        <v>37</v>
      </c>
      <c r="C327" s="9" t="s">
        <v>24</v>
      </c>
      <c r="D327" s="9" t="s">
        <v>18</v>
      </c>
      <c r="E327" s="9">
        <v>119</v>
      </c>
      <c r="F327" s="9">
        <v>84</v>
      </c>
      <c r="G327" s="9">
        <v>12096</v>
      </c>
      <c r="H327" s="9">
        <v>3782</v>
      </c>
      <c r="I327" s="9" t="s">
        <v>21</v>
      </c>
      <c r="J327" s="9">
        <v>8314</v>
      </c>
      <c r="K327" s="10">
        <f t="shared" si="5"/>
        <v>98.976190476190482</v>
      </c>
    </row>
    <row r="328" spans="1:11" x14ac:dyDescent="0.25">
      <c r="A328" s="11">
        <v>45618</v>
      </c>
      <c r="B328" s="12" t="s">
        <v>37</v>
      </c>
      <c r="C328" s="12" t="s">
        <v>22</v>
      </c>
      <c r="D328" s="12" t="s">
        <v>18</v>
      </c>
      <c r="E328" s="12">
        <v>50</v>
      </c>
      <c r="F328" s="12">
        <v>36</v>
      </c>
      <c r="G328" s="12">
        <v>4356</v>
      </c>
      <c r="H328" s="12">
        <v>1987</v>
      </c>
      <c r="I328" s="12" t="s">
        <v>21</v>
      </c>
      <c r="J328" s="12">
        <v>2369</v>
      </c>
      <c r="K328" s="13">
        <f t="shared" si="5"/>
        <v>65.805555555555557</v>
      </c>
    </row>
    <row r="329" spans="1:11" x14ac:dyDescent="0.25">
      <c r="A329" s="8">
        <v>45619</v>
      </c>
      <c r="B329" s="9" t="s">
        <v>37</v>
      </c>
      <c r="C329" s="9" t="s">
        <v>17</v>
      </c>
      <c r="D329" s="9" t="s">
        <v>18</v>
      </c>
      <c r="E329" s="9">
        <v>48</v>
      </c>
      <c r="F329" s="9">
        <v>33</v>
      </c>
      <c r="G329" s="9">
        <v>10098</v>
      </c>
      <c r="H329" s="9">
        <v>2191</v>
      </c>
      <c r="I329" s="9" t="s">
        <v>21</v>
      </c>
      <c r="J329" s="9">
        <v>7907</v>
      </c>
      <c r="K329" s="10">
        <f t="shared" si="5"/>
        <v>239.60606060606059</v>
      </c>
    </row>
    <row r="330" spans="1:11" x14ac:dyDescent="0.25">
      <c r="A330" s="11">
        <v>45620</v>
      </c>
      <c r="B330" s="12" t="s">
        <v>37</v>
      </c>
      <c r="C330" s="12" t="s">
        <v>12</v>
      </c>
      <c r="D330" s="12" t="s">
        <v>13</v>
      </c>
      <c r="E330" s="12">
        <v>30</v>
      </c>
      <c r="F330" s="12">
        <v>19</v>
      </c>
      <c r="G330" s="12">
        <v>5757</v>
      </c>
      <c r="H330" s="12">
        <v>2113</v>
      </c>
      <c r="I330" s="12" t="s">
        <v>23</v>
      </c>
      <c r="J330" s="12">
        <v>3644</v>
      </c>
      <c r="K330" s="13">
        <f t="shared" si="5"/>
        <v>191.78947368421052</v>
      </c>
    </row>
    <row r="331" spans="1:11" x14ac:dyDescent="0.25">
      <c r="A331" s="8">
        <v>45621</v>
      </c>
      <c r="B331" s="9" t="s">
        <v>37</v>
      </c>
      <c r="C331" s="9" t="s">
        <v>17</v>
      </c>
      <c r="D331" s="9" t="s">
        <v>18</v>
      </c>
      <c r="E331" s="9">
        <v>88</v>
      </c>
      <c r="F331" s="9">
        <v>40</v>
      </c>
      <c r="G331" s="9">
        <v>6240</v>
      </c>
      <c r="H331" s="9">
        <v>1812</v>
      </c>
      <c r="I331" s="9" t="s">
        <v>14</v>
      </c>
      <c r="J331" s="9">
        <v>4428</v>
      </c>
      <c r="K331" s="10">
        <f t="shared" si="5"/>
        <v>110.7</v>
      </c>
    </row>
    <row r="332" spans="1:11" x14ac:dyDescent="0.25">
      <c r="A332" s="11">
        <v>45622</v>
      </c>
      <c r="B332" s="12" t="s">
        <v>37</v>
      </c>
      <c r="C332" s="12" t="s">
        <v>22</v>
      </c>
      <c r="D332" s="12" t="s">
        <v>18</v>
      </c>
      <c r="E332" s="12">
        <v>118</v>
      </c>
      <c r="F332" s="12">
        <v>117</v>
      </c>
      <c r="G332" s="12">
        <v>46800</v>
      </c>
      <c r="H332" s="12">
        <v>13146</v>
      </c>
      <c r="I332" s="12" t="s">
        <v>16</v>
      </c>
      <c r="J332" s="12">
        <v>33654</v>
      </c>
      <c r="K332" s="13">
        <f t="shared" si="5"/>
        <v>287.64102564102564</v>
      </c>
    </row>
    <row r="333" spans="1:11" x14ac:dyDescent="0.25">
      <c r="A333" s="8">
        <v>45623</v>
      </c>
      <c r="B333" s="9" t="s">
        <v>37</v>
      </c>
      <c r="C333" s="9" t="s">
        <v>19</v>
      </c>
      <c r="D333" s="9" t="s">
        <v>20</v>
      </c>
      <c r="E333" s="9">
        <v>73</v>
      </c>
      <c r="F333" s="9">
        <v>43</v>
      </c>
      <c r="G333" s="9">
        <v>10363</v>
      </c>
      <c r="H333" s="9">
        <v>4627</v>
      </c>
      <c r="I333" s="9" t="s">
        <v>21</v>
      </c>
      <c r="J333" s="9">
        <v>5736</v>
      </c>
      <c r="K333" s="10">
        <f t="shared" si="5"/>
        <v>133.3953488372093</v>
      </c>
    </row>
    <row r="334" spans="1:11" x14ac:dyDescent="0.25">
      <c r="A334" s="11">
        <v>45624</v>
      </c>
      <c r="B334" s="12" t="s">
        <v>37</v>
      </c>
      <c r="C334" s="12" t="s">
        <v>12</v>
      </c>
      <c r="D334" s="12" t="s">
        <v>13</v>
      </c>
      <c r="E334" s="12">
        <v>22</v>
      </c>
      <c r="F334" s="12">
        <v>17</v>
      </c>
      <c r="G334" s="12">
        <v>8313</v>
      </c>
      <c r="H334" s="12">
        <v>3973</v>
      </c>
      <c r="I334" s="12" t="s">
        <v>14</v>
      </c>
      <c r="J334" s="12">
        <v>4340</v>
      </c>
      <c r="K334" s="13">
        <f t="shared" si="5"/>
        <v>255.29411764705881</v>
      </c>
    </row>
    <row r="335" spans="1:11" x14ac:dyDescent="0.25">
      <c r="A335" s="8">
        <v>45625</v>
      </c>
      <c r="B335" s="9" t="s">
        <v>37</v>
      </c>
      <c r="C335" s="9" t="s">
        <v>12</v>
      </c>
      <c r="D335" s="9" t="s">
        <v>13</v>
      </c>
      <c r="E335" s="9">
        <v>58</v>
      </c>
      <c r="F335" s="9">
        <v>43</v>
      </c>
      <c r="G335" s="9">
        <v>20855</v>
      </c>
      <c r="H335" s="9">
        <v>5117</v>
      </c>
      <c r="I335" s="9" t="s">
        <v>27</v>
      </c>
      <c r="J335" s="9">
        <v>15738</v>
      </c>
      <c r="K335" s="10">
        <f t="shared" si="5"/>
        <v>366</v>
      </c>
    </row>
    <row r="336" spans="1:11" x14ac:dyDescent="0.25">
      <c r="A336" s="11">
        <v>45626</v>
      </c>
      <c r="B336" s="12" t="s">
        <v>37</v>
      </c>
      <c r="C336" s="12" t="s">
        <v>17</v>
      </c>
      <c r="D336" s="12" t="s">
        <v>18</v>
      </c>
      <c r="E336" s="12">
        <v>20</v>
      </c>
      <c r="F336" s="12">
        <v>17</v>
      </c>
      <c r="G336" s="12">
        <v>1836</v>
      </c>
      <c r="H336" s="12">
        <v>392</v>
      </c>
      <c r="I336" s="12" t="s">
        <v>23</v>
      </c>
      <c r="J336" s="12">
        <v>1444</v>
      </c>
      <c r="K336" s="13">
        <f t="shared" si="5"/>
        <v>84.941176470588232</v>
      </c>
    </row>
    <row r="337" spans="1:11" x14ac:dyDescent="0.25">
      <c r="A337" s="8">
        <v>45627</v>
      </c>
      <c r="B337" s="9" t="s">
        <v>38</v>
      </c>
      <c r="C337" s="9" t="s">
        <v>19</v>
      </c>
      <c r="D337" s="9" t="s">
        <v>20</v>
      </c>
      <c r="E337" s="9">
        <v>49</v>
      </c>
      <c r="F337" s="9">
        <v>46</v>
      </c>
      <c r="G337" s="9">
        <v>12696</v>
      </c>
      <c r="H337" s="9">
        <v>5398</v>
      </c>
      <c r="I337" s="9" t="s">
        <v>23</v>
      </c>
      <c r="J337" s="9">
        <v>7298</v>
      </c>
      <c r="K337" s="10">
        <f t="shared" si="5"/>
        <v>158.65217391304347</v>
      </c>
    </row>
    <row r="338" spans="1:11" x14ac:dyDescent="0.25">
      <c r="A338" s="11">
        <v>45628</v>
      </c>
      <c r="B338" s="12" t="s">
        <v>38</v>
      </c>
      <c r="C338" s="12" t="s">
        <v>25</v>
      </c>
      <c r="D338" s="12" t="s">
        <v>26</v>
      </c>
      <c r="E338" s="12">
        <v>75</v>
      </c>
      <c r="F338" s="12">
        <v>56</v>
      </c>
      <c r="G338" s="12">
        <v>17584</v>
      </c>
      <c r="H338" s="12">
        <v>3535</v>
      </c>
      <c r="I338" s="12" t="s">
        <v>21</v>
      </c>
      <c r="J338" s="12">
        <v>14049</v>
      </c>
      <c r="K338" s="13">
        <f t="shared" si="5"/>
        <v>250.875</v>
      </c>
    </row>
    <row r="339" spans="1:11" x14ac:dyDescent="0.25">
      <c r="A339" s="8">
        <v>45629</v>
      </c>
      <c r="B339" s="9" t="s">
        <v>38</v>
      </c>
      <c r="C339" s="9" t="s">
        <v>19</v>
      </c>
      <c r="D339" s="9" t="s">
        <v>20</v>
      </c>
      <c r="E339" s="9">
        <v>50</v>
      </c>
      <c r="F339" s="9">
        <v>23</v>
      </c>
      <c r="G339" s="9">
        <v>3772</v>
      </c>
      <c r="H339" s="9">
        <v>984</v>
      </c>
      <c r="I339" s="9" t="s">
        <v>14</v>
      </c>
      <c r="J339" s="9">
        <v>2788</v>
      </c>
      <c r="K339" s="10">
        <f t="shared" si="5"/>
        <v>121.21739130434783</v>
      </c>
    </row>
    <row r="340" spans="1:11" x14ac:dyDescent="0.25">
      <c r="A340" s="11">
        <v>45630</v>
      </c>
      <c r="B340" s="12" t="s">
        <v>38</v>
      </c>
      <c r="C340" s="12" t="s">
        <v>24</v>
      </c>
      <c r="D340" s="12" t="s">
        <v>18</v>
      </c>
      <c r="E340" s="12">
        <v>120</v>
      </c>
      <c r="F340" s="12">
        <v>102</v>
      </c>
      <c r="G340" s="12">
        <v>13056</v>
      </c>
      <c r="H340" s="12">
        <v>5131</v>
      </c>
      <c r="I340" s="12" t="s">
        <v>27</v>
      </c>
      <c r="J340" s="12">
        <v>7925</v>
      </c>
      <c r="K340" s="13">
        <f t="shared" si="5"/>
        <v>77.696078431372555</v>
      </c>
    </row>
    <row r="341" spans="1:11" x14ac:dyDescent="0.25">
      <c r="A341" s="8">
        <v>45631</v>
      </c>
      <c r="B341" s="9" t="s">
        <v>38</v>
      </c>
      <c r="C341" s="9" t="s">
        <v>12</v>
      </c>
      <c r="D341" s="9" t="s">
        <v>13</v>
      </c>
      <c r="E341" s="9">
        <v>73</v>
      </c>
      <c r="F341" s="9">
        <v>41</v>
      </c>
      <c r="G341" s="9">
        <v>8405</v>
      </c>
      <c r="H341" s="9">
        <v>3810</v>
      </c>
      <c r="I341" s="9" t="s">
        <v>27</v>
      </c>
      <c r="J341" s="9">
        <v>4595</v>
      </c>
      <c r="K341" s="10">
        <f t="shared" si="5"/>
        <v>112.07317073170732</v>
      </c>
    </row>
    <row r="342" spans="1:11" x14ac:dyDescent="0.25">
      <c r="A342" s="11">
        <v>45632</v>
      </c>
      <c r="B342" s="12" t="s">
        <v>38</v>
      </c>
      <c r="C342" s="12" t="s">
        <v>22</v>
      </c>
      <c r="D342" s="12" t="s">
        <v>18</v>
      </c>
      <c r="E342" s="12">
        <v>100</v>
      </c>
      <c r="F342" s="12">
        <v>76</v>
      </c>
      <c r="G342" s="12">
        <v>8968</v>
      </c>
      <c r="H342" s="12">
        <v>2867</v>
      </c>
      <c r="I342" s="12" t="s">
        <v>27</v>
      </c>
      <c r="J342" s="12">
        <v>6101</v>
      </c>
      <c r="K342" s="13">
        <f t="shared" si="5"/>
        <v>80.276315789473685</v>
      </c>
    </row>
    <row r="343" spans="1:11" x14ac:dyDescent="0.25">
      <c r="A343" s="8">
        <v>45633</v>
      </c>
      <c r="B343" s="9" t="s">
        <v>38</v>
      </c>
      <c r="C343" s="9" t="s">
        <v>25</v>
      </c>
      <c r="D343" s="9" t="s">
        <v>26</v>
      </c>
      <c r="E343" s="9">
        <v>21</v>
      </c>
      <c r="F343" s="9">
        <v>10</v>
      </c>
      <c r="G343" s="9">
        <v>4050</v>
      </c>
      <c r="H343" s="9">
        <v>1674</v>
      </c>
      <c r="I343" s="9" t="s">
        <v>27</v>
      </c>
      <c r="J343" s="9">
        <v>2376</v>
      </c>
      <c r="K343" s="10">
        <f t="shared" si="5"/>
        <v>237.6</v>
      </c>
    </row>
    <row r="344" spans="1:11" x14ac:dyDescent="0.25">
      <c r="A344" s="11">
        <v>45634</v>
      </c>
      <c r="B344" s="12" t="s">
        <v>38</v>
      </c>
      <c r="C344" s="12" t="s">
        <v>15</v>
      </c>
      <c r="D344" s="12" t="s">
        <v>13</v>
      </c>
      <c r="E344" s="12">
        <v>87</v>
      </c>
      <c r="F344" s="12">
        <v>29</v>
      </c>
      <c r="G344" s="12">
        <v>7598</v>
      </c>
      <c r="H344" s="12">
        <v>3625</v>
      </c>
      <c r="I344" s="12" t="s">
        <v>23</v>
      </c>
      <c r="J344" s="12">
        <v>3973</v>
      </c>
      <c r="K344" s="13">
        <f t="shared" si="5"/>
        <v>137</v>
      </c>
    </row>
    <row r="345" spans="1:11" x14ac:dyDescent="0.25">
      <c r="A345" s="8">
        <v>45635</v>
      </c>
      <c r="B345" s="9" t="s">
        <v>38</v>
      </c>
      <c r="C345" s="9" t="s">
        <v>17</v>
      </c>
      <c r="D345" s="9" t="s">
        <v>18</v>
      </c>
      <c r="E345" s="9">
        <v>80</v>
      </c>
      <c r="F345" s="9">
        <v>40</v>
      </c>
      <c r="G345" s="9">
        <v>13040</v>
      </c>
      <c r="H345" s="9">
        <v>3744</v>
      </c>
      <c r="I345" s="9" t="s">
        <v>21</v>
      </c>
      <c r="J345" s="9">
        <v>9296</v>
      </c>
      <c r="K345" s="10">
        <f t="shared" si="5"/>
        <v>232.4</v>
      </c>
    </row>
    <row r="346" spans="1:11" x14ac:dyDescent="0.25">
      <c r="A346" s="11">
        <v>45636</v>
      </c>
      <c r="B346" s="12" t="s">
        <v>38</v>
      </c>
      <c r="C346" s="12" t="s">
        <v>22</v>
      </c>
      <c r="D346" s="12" t="s">
        <v>18</v>
      </c>
      <c r="E346" s="12">
        <v>95</v>
      </c>
      <c r="F346" s="12">
        <v>76</v>
      </c>
      <c r="G346" s="12">
        <v>28044</v>
      </c>
      <c r="H346" s="12">
        <v>13469</v>
      </c>
      <c r="I346" s="12" t="s">
        <v>27</v>
      </c>
      <c r="J346" s="12">
        <v>14575</v>
      </c>
      <c r="K346" s="13">
        <f t="shared" si="5"/>
        <v>191.77631578947367</v>
      </c>
    </row>
    <row r="347" spans="1:11" x14ac:dyDescent="0.25">
      <c r="A347" s="8">
        <v>45637</v>
      </c>
      <c r="B347" s="9" t="s">
        <v>38</v>
      </c>
      <c r="C347" s="9" t="s">
        <v>15</v>
      </c>
      <c r="D347" s="9" t="s">
        <v>13</v>
      </c>
      <c r="E347" s="9">
        <v>104</v>
      </c>
      <c r="F347" s="9">
        <v>65</v>
      </c>
      <c r="G347" s="9">
        <v>17355</v>
      </c>
      <c r="H347" s="9">
        <v>4227</v>
      </c>
      <c r="I347" s="9" t="s">
        <v>23</v>
      </c>
      <c r="J347" s="9">
        <v>13128</v>
      </c>
      <c r="K347" s="10">
        <f t="shared" si="5"/>
        <v>201.96923076923076</v>
      </c>
    </row>
    <row r="348" spans="1:11" x14ac:dyDescent="0.25">
      <c r="A348" s="11">
        <v>45638</v>
      </c>
      <c r="B348" s="12" t="s">
        <v>38</v>
      </c>
      <c r="C348" s="12" t="s">
        <v>15</v>
      </c>
      <c r="D348" s="12" t="s">
        <v>13</v>
      </c>
      <c r="E348" s="12">
        <v>76</v>
      </c>
      <c r="F348" s="12">
        <v>62</v>
      </c>
      <c r="G348" s="12">
        <v>13764</v>
      </c>
      <c r="H348" s="12">
        <v>5732</v>
      </c>
      <c r="I348" s="12" t="s">
        <v>27</v>
      </c>
      <c r="J348" s="12">
        <v>8032</v>
      </c>
      <c r="K348" s="13">
        <f t="shared" si="5"/>
        <v>129.54838709677421</v>
      </c>
    </row>
    <row r="349" spans="1:11" x14ac:dyDescent="0.25">
      <c r="A349" s="8">
        <v>45639</v>
      </c>
      <c r="B349" s="9" t="s">
        <v>38</v>
      </c>
      <c r="C349" s="9" t="s">
        <v>12</v>
      </c>
      <c r="D349" s="9" t="s">
        <v>13</v>
      </c>
      <c r="E349" s="9">
        <v>79</v>
      </c>
      <c r="F349" s="9">
        <v>62</v>
      </c>
      <c r="G349" s="9">
        <v>21018</v>
      </c>
      <c r="H349" s="9">
        <v>4659</v>
      </c>
      <c r="I349" s="9" t="s">
        <v>14</v>
      </c>
      <c r="J349" s="9">
        <v>16359</v>
      </c>
      <c r="K349" s="10">
        <f t="shared" si="5"/>
        <v>263.85483870967744</v>
      </c>
    </row>
    <row r="350" spans="1:11" x14ac:dyDescent="0.25">
      <c r="A350" s="11">
        <v>45640</v>
      </c>
      <c r="B350" s="12" t="s">
        <v>38</v>
      </c>
      <c r="C350" s="12" t="s">
        <v>17</v>
      </c>
      <c r="D350" s="12" t="s">
        <v>18</v>
      </c>
      <c r="E350" s="12">
        <v>34</v>
      </c>
      <c r="F350" s="12">
        <v>22</v>
      </c>
      <c r="G350" s="12">
        <v>10230</v>
      </c>
      <c r="H350" s="12">
        <v>2240</v>
      </c>
      <c r="I350" s="12" t="s">
        <v>23</v>
      </c>
      <c r="J350" s="12">
        <v>7990</v>
      </c>
      <c r="K350" s="13">
        <f t="shared" si="5"/>
        <v>363.18181818181819</v>
      </c>
    </row>
    <row r="351" spans="1:11" x14ac:dyDescent="0.25">
      <c r="A351" s="8">
        <v>45641</v>
      </c>
      <c r="B351" s="9" t="s">
        <v>38</v>
      </c>
      <c r="C351" s="9" t="s">
        <v>22</v>
      </c>
      <c r="D351" s="9" t="s">
        <v>18</v>
      </c>
      <c r="E351" s="9">
        <v>89</v>
      </c>
      <c r="F351" s="9">
        <v>24</v>
      </c>
      <c r="G351" s="9">
        <v>8424</v>
      </c>
      <c r="H351" s="9">
        <v>2480</v>
      </c>
      <c r="I351" s="9" t="s">
        <v>23</v>
      </c>
      <c r="J351" s="9">
        <v>5944</v>
      </c>
      <c r="K351" s="10">
        <f t="shared" si="5"/>
        <v>247.66666666666666</v>
      </c>
    </row>
    <row r="352" spans="1:11" x14ac:dyDescent="0.25">
      <c r="A352" s="11">
        <v>45642</v>
      </c>
      <c r="B352" s="12" t="s">
        <v>38</v>
      </c>
      <c r="C352" s="12" t="s">
        <v>22</v>
      </c>
      <c r="D352" s="12" t="s">
        <v>18</v>
      </c>
      <c r="E352" s="12">
        <v>56</v>
      </c>
      <c r="F352" s="12">
        <v>32</v>
      </c>
      <c r="G352" s="12">
        <v>5216</v>
      </c>
      <c r="H352" s="12">
        <v>1841</v>
      </c>
      <c r="I352" s="12" t="s">
        <v>14</v>
      </c>
      <c r="J352" s="12">
        <v>3375</v>
      </c>
      <c r="K352" s="13">
        <f t="shared" si="5"/>
        <v>105.46875</v>
      </c>
    </row>
    <row r="353" spans="1:11" x14ac:dyDescent="0.25">
      <c r="A353" s="8">
        <v>45643</v>
      </c>
      <c r="B353" s="9" t="s">
        <v>38</v>
      </c>
      <c r="C353" s="9" t="s">
        <v>22</v>
      </c>
      <c r="D353" s="9" t="s">
        <v>18</v>
      </c>
      <c r="E353" s="9">
        <v>53</v>
      </c>
      <c r="F353" s="9">
        <v>50</v>
      </c>
      <c r="G353" s="9">
        <v>11850</v>
      </c>
      <c r="H353" s="9">
        <v>3647</v>
      </c>
      <c r="I353" s="9" t="s">
        <v>14</v>
      </c>
      <c r="J353" s="9">
        <v>8203</v>
      </c>
      <c r="K353" s="10">
        <f t="shared" si="5"/>
        <v>164.06</v>
      </c>
    </row>
    <row r="354" spans="1:11" x14ac:dyDescent="0.25">
      <c r="A354" s="11">
        <v>45644</v>
      </c>
      <c r="B354" s="12" t="s">
        <v>38</v>
      </c>
      <c r="C354" s="12" t="s">
        <v>25</v>
      </c>
      <c r="D354" s="12" t="s">
        <v>26</v>
      </c>
      <c r="E354" s="12">
        <v>29</v>
      </c>
      <c r="F354" s="12">
        <v>10</v>
      </c>
      <c r="G354" s="12">
        <v>1960</v>
      </c>
      <c r="H354" s="12">
        <v>594</v>
      </c>
      <c r="I354" s="12" t="s">
        <v>16</v>
      </c>
      <c r="J354" s="12">
        <v>1366</v>
      </c>
      <c r="K354" s="13">
        <f t="shared" si="5"/>
        <v>136.6</v>
      </c>
    </row>
    <row r="355" spans="1:11" x14ac:dyDescent="0.25">
      <c r="A355" s="8">
        <v>45645</v>
      </c>
      <c r="B355" s="9" t="s">
        <v>38</v>
      </c>
      <c r="C355" s="9" t="s">
        <v>25</v>
      </c>
      <c r="D355" s="9" t="s">
        <v>26</v>
      </c>
      <c r="E355" s="9">
        <v>92</v>
      </c>
      <c r="F355" s="9">
        <v>66</v>
      </c>
      <c r="G355" s="9">
        <v>10560</v>
      </c>
      <c r="H355" s="9">
        <v>4329</v>
      </c>
      <c r="I355" s="9" t="s">
        <v>21</v>
      </c>
      <c r="J355" s="9">
        <v>6231</v>
      </c>
      <c r="K355" s="10">
        <f t="shared" si="5"/>
        <v>94.409090909090907</v>
      </c>
    </row>
    <row r="356" spans="1:11" x14ac:dyDescent="0.25">
      <c r="A356" s="11">
        <v>45646</v>
      </c>
      <c r="B356" s="12" t="s">
        <v>38</v>
      </c>
      <c r="C356" s="12" t="s">
        <v>17</v>
      </c>
      <c r="D356" s="12" t="s">
        <v>18</v>
      </c>
      <c r="E356" s="12">
        <v>50</v>
      </c>
      <c r="F356" s="12">
        <v>46</v>
      </c>
      <c r="G356" s="12">
        <v>18032</v>
      </c>
      <c r="H356" s="12">
        <v>7383</v>
      </c>
      <c r="I356" s="12" t="s">
        <v>14</v>
      </c>
      <c r="J356" s="12">
        <v>10649</v>
      </c>
      <c r="K356" s="13">
        <f t="shared" si="5"/>
        <v>231.5</v>
      </c>
    </row>
    <row r="357" spans="1:11" x14ac:dyDescent="0.25">
      <c r="A357" s="8">
        <v>45647</v>
      </c>
      <c r="B357" s="9" t="s">
        <v>38</v>
      </c>
      <c r="C357" s="9" t="s">
        <v>25</v>
      </c>
      <c r="D357" s="9" t="s">
        <v>26</v>
      </c>
      <c r="E357" s="9">
        <v>80</v>
      </c>
      <c r="F357" s="9">
        <v>50</v>
      </c>
      <c r="G357" s="9">
        <v>5550</v>
      </c>
      <c r="H357" s="9">
        <v>2659</v>
      </c>
      <c r="I357" s="9" t="s">
        <v>21</v>
      </c>
      <c r="J357" s="9">
        <v>2891</v>
      </c>
      <c r="K357" s="10">
        <f t="shared" si="5"/>
        <v>57.82</v>
      </c>
    </row>
    <row r="358" spans="1:11" x14ac:dyDescent="0.25">
      <c r="A358" s="11">
        <v>45648</v>
      </c>
      <c r="B358" s="12" t="s">
        <v>38</v>
      </c>
      <c r="C358" s="12" t="s">
        <v>24</v>
      </c>
      <c r="D358" s="12" t="s">
        <v>18</v>
      </c>
      <c r="E358" s="12">
        <v>96</v>
      </c>
      <c r="F358" s="12">
        <v>92</v>
      </c>
      <c r="G358" s="12">
        <v>15824</v>
      </c>
      <c r="H358" s="12">
        <v>4831</v>
      </c>
      <c r="I358" s="12" t="s">
        <v>16</v>
      </c>
      <c r="J358" s="12">
        <v>10993</v>
      </c>
      <c r="K358" s="13">
        <f t="shared" si="5"/>
        <v>119.48913043478261</v>
      </c>
    </row>
    <row r="359" spans="1:11" x14ac:dyDescent="0.25">
      <c r="A359" s="8">
        <v>45649</v>
      </c>
      <c r="B359" s="9" t="s">
        <v>38</v>
      </c>
      <c r="C359" s="9" t="s">
        <v>15</v>
      </c>
      <c r="D359" s="9" t="s">
        <v>13</v>
      </c>
      <c r="E359" s="9">
        <v>89</v>
      </c>
      <c r="F359" s="9">
        <v>49</v>
      </c>
      <c r="G359" s="9">
        <v>8869</v>
      </c>
      <c r="H359" s="9">
        <v>2999</v>
      </c>
      <c r="I359" s="9" t="s">
        <v>27</v>
      </c>
      <c r="J359" s="9">
        <v>5870</v>
      </c>
      <c r="K359" s="10">
        <f t="shared" si="5"/>
        <v>119.79591836734694</v>
      </c>
    </row>
    <row r="360" spans="1:11" x14ac:dyDescent="0.25">
      <c r="A360" s="11">
        <v>45650</v>
      </c>
      <c r="B360" s="12" t="s">
        <v>38</v>
      </c>
      <c r="C360" s="12" t="s">
        <v>22</v>
      </c>
      <c r="D360" s="12" t="s">
        <v>18</v>
      </c>
      <c r="E360" s="12">
        <v>74</v>
      </c>
      <c r="F360" s="12">
        <v>69</v>
      </c>
      <c r="G360" s="12">
        <v>18216</v>
      </c>
      <c r="H360" s="12">
        <v>5729</v>
      </c>
      <c r="I360" s="12" t="s">
        <v>14</v>
      </c>
      <c r="J360" s="12">
        <v>12487</v>
      </c>
      <c r="K360" s="13">
        <f t="shared" si="5"/>
        <v>180.97101449275362</v>
      </c>
    </row>
    <row r="361" spans="1:11" x14ac:dyDescent="0.25">
      <c r="A361" s="8">
        <v>45651</v>
      </c>
      <c r="B361" s="9" t="s">
        <v>38</v>
      </c>
      <c r="C361" s="9" t="s">
        <v>25</v>
      </c>
      <c r="D361" s="9" t="s">
        <v>26</v>
      </c>
      <c r="E361" s="9">
        <v>93</v>
      </c>
      <c r="F361" s="9">
        <v>28</v>
      </c>
      <c r="G361" s="9">
        <v>10080</v>
      </c>
      <c r="H361" s="9">
        <v>2643</v>
      </c>
      <c r="I361" s="9" t="s">
        <v>23</v>
      </c>
      <c r="J361" s="9">
        <v>7437</v>
      </c>
      <c r="K361" s="10">
        <f t="shared" si="5"/>
        <v>265.60714285714283</v>
      </c>
    </row>
    <row r="362" spans="1:11" x14ac:dyDescent="0.25">
      <c r="A362" s="11">
        <v>45652</v>
      </c>
      <c r="B362" s="12" t="s">
        <v>38</v>
      </c>
      <c r="C362" s="12" t="s">
        <v>24</v>
      </c>
      <c r="D362" s="12" t="s">
        <v>18</v>
      </c>
      <c r="E362" s="12">
        <v>97</v>
      </c>
      <c r="F362" s="12">
        <v>35</v>
      </c>
      <c r="G362" s="12">
        <v>17080</v>
      </c>
      <c r="H362" s="12">
        <v>4862</v>
      </c>
      <c r="I362" s="12" t="s">
        <v>23</v>
      </c>
      <c r="J362" s="12">
        <v>12218</v>
      </c>
      <c r="K362" s="13">
        <f t="shared" si="5"/>
        <v>349.08571428571429</v>
      </c>
    </row>
    <row r="363" spans="1:11" x14ac:dyDescent="0.25">
      <c r="A363" s="8">
        <v>45653</v>
      </c>
      <c r="B363" s="9" t="s">
        <v>38</v>
      </c>
      <c r="C363" s="9" t="s">
        <v>25</v>
      </c>
      <c r="D363" s="9" t="s">
        <v>26</v>
      </c>
      <c r="E363" s="9">
        <v>106</v>
      </c>
      <c r="F363" s="9">
        <v>16</v>
      </c>
      <c r="G363" s="9">
        <v>6080</v>
      </c>
      <c r="H363" s="9">
        <v>2254</v>
      </c>
      <c r="I363" s="9" t="s">
        <v>14</v>
      </c>
      <c r="J363" s="9">
        <v>3826</v>
      </c>
      <c r="K363" s="10">
        <f t="shared" si="5"/>
        <v>239.125</v>
      </c>
    </row>
    <row r="364" spans="1:11" x14ac:dyDescent="0.25">
      <c r="A364" s="11">
        <v>45654</v>
      </c>
      <c r="B364" s="12" t="s">
        <v>38</v>
      </c>
      <c r="C364" s="12" t="s">
        <v>24</v>
      </c>
      <c r="D364" s="12" t="s">
        <v>18</v>
      </c>
      <c r="E364" s="12">
        <v>88</v>
      </c>
      <c r="F364" s="12">
        <v>48</v>
      </c>
      <c r="G364" s="12">
        <v>17616</v>
      </c>
      <c r="H364" s="12">
        <v>3583</v>
      </c>
      <c r="I364" s="12" t="s">
        <v>16</v>
      </c>
      <c r="J364" s="12">
        <v>14033</v>
      </c>
      <c r="K364" s="13">
        <f t="shared" si="5"/>
        <v>292.35416666666669</v>
      </c>
    </row>
    <row r="365" spans="1:11" x14ac:dyDescent="0.25">
      <c r="A365" s="8">
        <v>45655</v>
      </c>
      <c r="B365" s="9" t="s">
        <v>38</v>
      </c>
      <c r="C365" s="9" t="s">
        <v>12</v>
      </c>
      <c r="D365" s="9" t="s">
        <v>13</v>
      </c>
      <c r="E365" s="9">
        <v>106</v>
      </c>
      <c r="F365" s="9">
        <v>95</v>
      </c>
      <c r="G365" s="9">
        <v>12825</v>
      </c>
      <c r="H365" s="9">
        <v>4720</v>
      </c>
      <c r="I365" s="9" t="s">
        <v>16</v>
      </c>
      <c r="J365" s="9">
        <v>8105</v>
      </c>
      <c r="K365" s="10">
        <f t="shared" si="5"/>
        <v>85.315789473684205</v>
      </c>
    </row>
    <row r="366" spans="1:11" x14ac:dyDescent="0.25">
      <c r="A366" s="14">
        <v>45656</v>
      </c>
      <c r="B366" s="1" t="s">
        <v>38</v>
      </c>
      <c r="C366" s="1" t="s">
        <v>15</v>
      </c>
      <c r="D366" s="1" t="s">
        <v>13</v>
      </c>
      <c r="E366" s="1">
        <v>120</v>
      </c>
      <c r="F366" s="1">
        <v>58</v>
      </c>
      <c r="G366" s="1">
        <v>21982</v>
      </c>
      <c r="H366" s="1">
        <v>6419</v>
      </c>
      <c r="I366" s="1" t="s">
        <v>21</v>
      </c>
      <c r="J366" s="1">
        <v>15563</v>
      </c>
      <c r="K366" s="2">
        <f t="shared" si="5"/>
        <v>268.32758620689657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A5670-6720-4068-9C44-0B4A420D816A}">
  <sheetPr codeName="Sheet2">
    <tabColor rgb="FF4472C4"/>
  </sheetPr>
  <dimension ref="A1:V16"/>
  <sheetViews>
    <sheetView topLeftCell="D1" workbookViewId="0">
      <selection activeCell="G17" sqref="G17"/>
    </sheetView>
  </sheetViews>
  <sheetFormatPr defaultRowHeight="15" x14ac:dyDescent="0.25"/>
  <cols>
    <col min="1" max="1" width="11.28515625" bestFit="1" customWidth="1"/>
    <col min="2" max="2" width="13.85546875" bestFit="1" customWidth="1"/>
    <col min="3" max="3" width="10.85546875" bestFit="1" customWidth="1"/>
    <col min="4" max="4" width="14.28515625" bestFit="1" customWidth="1"/>
    <col min="5" max="5" width="9.5703125" bestFit="1" customWidth="1"/>
    <col min="7" max="7" width="11.28515625" bestFit="1" customWidth="1"/>
    <col min="8" max="8" width="13.85546875" bestFit="1" customWidth="1"/>
    <col min="9" max="9" width="10.85546875" bestFit="1" customWidth="1"/>
    <col min="11" max="11" width="17.7109375" bestFit="1" customWidth="1"/>
    <col min="12" max="12" width="13.85546875" bestFit="1" customWidth="1"/>
    <col min="13" max="13" width="10.85546875" bestFit="1" customWidth="1"/>
    <col min="14" max="14" width="9.5703125" bestFit="1" customWidth="1"/>
    <col min="16" max="16" width="11.28515625" bestFit="1" customWidth="1"/>
    <col min="17" max="17" width="13.85546875" bestFit="1" customWidth="1"/>
    <col min="18" max="18" width="10.85546875" bestFit="1" customWidth="1"/>
    <col min="20" max="20" width="11.28515625" bestFit="1" customWidth="1"/>
    <col min="21" max="21" width="7.42578125" bestFit="1" customWidth="1"/>
    <col min="22" max="22" width="9" bestFit="1" customWidth="1"/>
  </cols>
  <sheetData>
    <row r="1" spans="1:22" x14ac:dyDescent="0.25">
      <c r="A1" s="20" t="s">
        <v>45</v>
      </c>
      <c r="B1" s="20"/>
      <c r="C1" s="20"/>
      <c r="D1" s="20"/>
      <c r="E1" s="20"/>
      <c r="G1" s="20" t="s">
        <v>46</v>
      </c>
      <c r="H1" s="20"/>
      <c r="I1" s="20"/>
      <c r="K1" s="20" t="s">
        <v>47</v>
      </c>
      <c r="L1" s="20"/>
      <c r="M1" s="20"/>
      <c r="N1" s="20"/>
      <c r="P1" s="20" t="s">
        <v>48</v>
      </c>
      <c r="Q1" s="20"/>
      <c r="R1" s="20"/>
      <c r="T1" s="20" t="s">
        <v>51</v>
      </c>
      <c r="U1" s="20"/>
      <c r="V1" s="20"/>
    </row>
    <row r="2" spans="1:22" x14ac:dyDescent="0.25">
      <c r="B2" s="15" t="s">
        <v>40</v>
      </c>
      <c r="H2" s="15" t="s">
        <v>40</v>
      </c>
      <c r="L2" s="15" t="s">
        <v>40</v>
      </c>
      <c r="Q2" s="15" t="s">
        <v>40</v>
      </c>
      <c r="U2" s="15" t="s">
        <v>40</v>
      </c>
    </row>
    <row r="3" spans="1:22" x14ac:dyDescent="0.25">
      <c r="A3" s="15" t="s">
        <v>1</v>
      </c>
      <c r="B3" t="s">
        <v>39</v>
      </c>
      <c r="C3" t="s">
        <v>41</v>
      </c>
      <c r="D3" t="s">
        <v>42</v>
      </c>
      <c r="E3" t="s">
        <v>43</v>
      </c>
      <c r="G3" s="15" t="s">
        <v>3</v>
      </c>
      <c r="H3" t="s">
        <v>39</v>
      </c>
      <c r="I3" t="s">
        <v>41</v>
      </c>
      <c r="K3" s="15" t="s">
        <v>2</v>
      </c>
      <c r="L3" t="s">
        <v>39</v>
      </c>
      <c r="M3" t="s">
        <v>41</v>
      </c>
      <c r="N3" t="s">
        <v>43</v>
      </c>
      <c r="P3" s="15" t="s">
        <v>8</v>
      </c>
      <c r="Q3" t="s">
        <v>39</v>
      </c>
      <c r="R3" t="s">
        <v>41</v>
      </c>
      <c r="T3" s="15" t="s">
        <v>1</v>
      </c>
      <c r="U3" t="s">
        <v>49</v>
      </c>
      <c r="V3" t="s">
        <v>50</v>
      </c>
    </row>
    <row r="4" spans="1:22" x14ac:dyDescent="0.25">
      <c r="A4" t="s">
        <v>11</v>
      </c>
      <c r="B4" s="16">
        <v>90512</v>
      </c>
      <c r="C4" s="16">
        <v>67034</v>
      </c>
      <c r="D4" s="16">
        <v>23478</v>
      </c>
      <c r="E4" s="17">
        <v>294</v>
      </c>
      <c r="G4" t="s">
        <v>26</v>
      </c>
      <c r="H4" s="16">
        <v>98313</v>
      </c>
      <c r="I4" s="16">
        <v>64224</v>
      </c>
      <c r="K4" t="s">
        <v>22</v>
      </c>
      <c r="L4" s="16">
        <v>137099</v>
      </c>
      <c r="M4" s="16">
        <v>85222</v>
      </c>
      <c r="N4" s="17">
        <v>517</v>
      </c>
      <c r="P4" t="s">
        <v>27</v>
      </c>
      <c r="Q4" s="16">
        <v>827381</v>
      </c>
      <c r="R4" s="16">
        <v>533669</v>
      </c>
      <c r="T4" t="s">
        <v>11</v>
      </c>
      <c r="U4" s="17">
        <v>417</v>
      </c>
      <c r="V4" s="17">
        <v>294</v>
      </c>
    </row>
    <row r="5" spans="1:22" x14ac:dyDescent="0.25">
      <c r="A5" t="s">
        <v>28</v>
      </c>
      <c r="B5" s="16">
        <v>24736</v>
      </c>
      <c r="C5" s="16">
        <v>15874</v>
      </c>
      <c r="D5" s="16">
        <v>8862</v>
      </c>
      <c r="E5" s="17">
        <v>118</v>
      </c>
      <c r="G5" t="s">
        <v>13</v>
      </c>
      <c r="H5" s="16">
        <v>234196</v>
      </c>
      <c r="I5" s="16">
        <v>160426</v>
      </c>
      <c r="K5" t="s">
        <v>25</v>
      </c>
      <c r="L5" s="16">
        <v>98313</v>
      </c>
      <c r="M5" s="16">
        <v>64224</v>
      </c>
      <c r="N5" s="17">
        <v>370</v>
      </c>
      <c r="P5" t="s">
        <v>44</v>
      </c>
      <c r="Q5" s="16">
        <v>827381</v>
      </c>
      <c r="R5" s="16">
        <v>533669</v>
      </c>
      <c r="T5" t="s">
        <v>28</v>
      </c>
      <c r="U5" s="17">
        <v>284</v>
      </c>
      <c r="V5" s="17">
        <v>118</v>
      </c>
    </row>
    <row r="6" spans="1:22" x14ac:dyDescent="0.25">
      <c r="A6" t="s">
        <v>29</v>
      </c>
      <c r="B6" s="16">
        <v>84408</v>
      </c>
      <c r="C6" s="16">
        <v>55519</v>
      </c>
      <c r="D6" s="16">
        <v>28889</v>
      </c>
      <c r="E6" s="17">
        <v>297</v>
      </c>
      <c r="G6" t="s">
        <v>18</v>
      </c>
      <c r="H6" s="16">
        <v>409815</v>
      </c>
      <c r="I6" s="16">
        <v>249432</v>
      </c>
      <c r="K6" t="s">
        <v>19</v>
      </c>
      <c r="L6" s="16">
        <v>85057</v>
      </c>
      <c r="M6" s="16">
        <v>59587</v>
      </c>
      <c r="N6" s="17">
        <v>349</v>
      </c>
      <c r="T6" t="s">
        <v>29</v>
      </c>
      <c r="U6" s="17">
        <v>489</v>
      </c>
      <c r="V6" s="17">
        <v>297</v>
      </c>
    </row>
    <row r="7" spans="1:22" x14ac:dyDescent="0.25">
      <c r="A7" t="s">
        <v>30</v>
      </c>
      <c r="B7" s="16">
        <v>88759</v>
      </c>
      <c r="C7" s="16">
        <v>58833</v>
      </c>
      <c r="D7" s="16">
        <v>29926</v>
      </c>
      <c r="E7" s="17">
        <v>326</v>
      </c>
      <c r="G7" t="s">
        <v>20</v>
      </c>
      <c r="H7" s="16">
        <v>85057</v>
      </c>
      <c r="I7" s="16">
        <v>59587</v>
      </c>
      <c r="K7" t="s">
        <v>12</v>
      </c>
      <c r="L7" s="16">
        <v>70588</v>
      </c>
      <c r="M7" s="16">
        <v>46544</v>
      </c>
      <c r="N7" s="17">
        <v>224</v>
      </c>
      <c r="T7" t="s">
        <v>30</v>
      </c>
      <c r="U7" s="17">
        <v>643</v>
      </c>
      <c r="V7" s="17">
        <v>326</v>
      </c>
    </row>
    <row r="8" spans="1:22" x14ac:dyDescent="0.25">
      <c r="A8" t="s">
        <v>31</v>
      </c>
      <c r="B8" s="16">
        <v>80513</v>
      </c>
      <c r="C8" s="16">
        <v>53328</v>
      </c>
      <c r="D8" s="16">
        <v>27185</v>
      </c>
      <c r="E8" s="17">
        <v>294</v>
      </c>
      <c r="G8" t="s">
        <v>44</v>
      </c>
      <c r="H8" s="16">
        <v>827381</v>
      </c>
      <c r="I8" s="16">
        <v>533669</v>
      </c>
      <c r="K8" t="s">
        <v>17</v>
      </c>
      <c r="L8" s="16">
        <v>88607</v>
      </c>
      <c r="M8" s="16">
        <v>54390</v>
      </c>
      <c r="N8" s="17">
        <v>395</v>
      </c>
      <c r="T8" t="s">
        <v>31</v>
      </c>
      <c r="U8" s="17">
        <v>671</v>
      </c>
      <c r="V8" s="17">
        <v>294</v>
      </c>
    </row>
    <row r="9" spans="1:22" x14ac:dyDescent="0.25">
      <c r="A9" t="s">
        <v>32</v>
      </c>
      <c r="B9" s="16">
        <v>90008</v>
      </c>
      <c r="C9" s="16">
        <v>52676</v>
      </c>
      <c r="D9" s="16">
        <v>37332</v>
      </c>
      <c r="E9" s="17">
        <v>301</v>
      </c>
      <c r="K9" t="s">
        <v>24</v>
      </c>
      <c r="L9" s="16">
        <v>184109</v>
      </c>
      <c r="M9" s="16">
        <v>109820</v>
      </c>
      <c r="N9" s="17">
        <v>571</v>
      </c>
      <c r="T9" t="s">
        <v>32</v>
      </c>
      <c r="U9" s="17">
        <v>524</v>
      </c>
      <c r="V9" s="17">
        <v>301</v>
      </c>
    </row>
    <row r="10" spans="1:22" x14ac:dyDescent="0.25">
      <c r="A10" t="s">
        <v>33</v>
      </c>
      <c r="B10" s="16">
        <v>62602</v>
      </c>
      <c r="C10" s="16">
        <v>40259</v>
      </c>
      <c r="D10" s="16">
        <v>22343</v>
      </c>
      <c r="E10" s="17">
        <v>190</v>
      </c>
      <c r="K10" t="s">
        <v>15</v>
      </c>
      <c r="L10" s="16">
        <v>163608</v>
      </c>
      <c r="M10" s="16">
        <v>113882</v>
      </c>
      <c r="N10" s="17">
        <v>554</v>
      </c>
      <c r="T10" t="s">
        <v>33</v>
      </c>
      <c r="U10" s="17">
        <v>449</v>
      </c>
      <c r="V10" s="17">
        <v>190</v>
      </c>
    </row>
    <row r="11" spans="1:22" x14ac:dyDescent="0.25">
      <c r="A11" t="s">
        <v>34</v>
      </c>
      <c r="B11" s="16">
        <v>68856</v>
      </c>
      <c r="C11" s="16">
        <v>43844</v>
      </c>
      <c r="D11" s="16">
        <v>25012</v>
      </c>
      <c r="E11" s="17">
        <v>275</v>
      </c>
      <c r="K11" t="s">
        <v>44</v>
      </c>
      <c r="L11" s="16">
        <v>827381</v>
      </c>
      <c r="M11" s="16">
        <v>533669</v>
      </c>
      <c r="N11" s="17">
        <v>2980</v>
      </c>
      <c r="T11" t="s">
        <v>34</v>
      </c>
      <c r="U11" s="17">
        <v>519</v>
      </c>
      <c r="V11" s="17">
        <v>275</v>
      </c>
    </row>
    <row r="12" spans="1:22" x14ac:dyDescent="0.25">
      <c r="A12" t="s">
        <v>35</v>
      </c>
      <c r="B12" s="16">
        <v>86970</v>
      </c>
      <c r="C12" s="16">
        <v>54299</v>
      </c>
      <c r="D12" s="16">
        <v>32671</v>
      </c>
      <c r="E12" s="17">
        <v>293</v>
      </c>
      <c r="T12" t="s">
        <v>35</v>
      </c>
      <c r="U12" s="17">
        <v>481</v>
      </c>
      <c r="V12" s="17">
        <v>293</v>
      </c>
    </row>
    <row r="13" spans="1:22" x14ac:dyDescent="0.25">
      <c r="A13" t="s">
        <v>36</v>
      </c>
      <c r="B13" s="16">
        <v>35874</v>
      </c>
      <c r="C13" s="16">
        <v>20701</v>
      </c>
      <c r="D13" s="16">
        <v>15173</v>
      </c>
      <c r="E13" s="17">
        <v>95</v>
      </c>
      <c r="T13" t="s">
        <v>36</v>
      </c>
      <c r="U13" s="17">
        <v>231</v>
      </c>
      <c r="V13" s="17">
        <v>95</v>
      </c>
    </row>
    <row r="14" spans="1:22" x14ac:dyDescent="0.25">
      <c r="A14" t="s">
        <v>37</v>
      </c>
      <c r="B14" s="16">
        <v>28987</v>
      </c>
      <c r="C14" s="16">
        <v>21828</v>
      </c>
      <c r="D14" s="16">
        <v>7159</v>
      </c>
      <c r="E14" s="17">
        <v>81</v>
      </c>
      <c r="T14" t="s">
        <v>37</v>
      </c>
      <c r="U14" s="17">
        <v>116</v>
      </c>
      <c r="V14" s="17">
        <v>81</v>
      </c>
    </row>
    <row r="15" spans="1:22" x14ac:dyDescent="0.25">
      <c r="A15" t="s">
        <v>38</v>
      </c>
      <c r="B15" s="16">
        <v>85156</v>
      </c>
      <c r="C15" s="16">
        <v>49474</v>
      </c>
      <c r="D15" s="16">
        <v>35682</v>
      </c>
      <c r="E15" s="17">
        <v>416</v>
      </c>
      <c r="T15" t="s">
        <v>38</v>
      </c>
      <c r="U15" s="17">
        <v>574</v>
      </c>
      <c r="V15" s="17">
        <v>416</v>
      </c>
    </row>
    <row r="16" spans="1:22" x14ac:dyDescent="0.25">
      <c r="A16" t="s">
        <v>44</v>
      </c>
      <c r="B16" s="16">
        <v>827381</v>
      </c>
      <c r="C16" s="16">
        <v>533669</v>
      </c>
      <c r="D16" s="16">
        <v>293712</v>
      </c>
      <c r="E16" s="17">
        <v>2980</v>
      </c>
      <c r="T16" t="s">
        <v>44</v>
      </c>
      <c r="U16" s="17">
        <v>5398</v>
      </c>
      <c r="V16" s="17">
        <v>2980</v>
      </c>
    </row>
  </sheetData>
  <mergeCells count="5">
    <mergeCell ref="A1:E1"/>
    <mergeCell ref="G1:I1"/>
    <mergeCell ref="K1:N1"/>
    <mergeCell ref="P1:R1"/>
    <mergeCell ref="T1:V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7B36E-850D-4DE2-B298-7209253280C1}">
  <sheetPr codeName="Sheet3">
    <tabColor rgb="FF1F497D"/>
  </sheetPr>
  <dimension ref="A1:Z35"/>
  <sheetViews>
    <sheetView showGridLines="0" zoomScale="70" zoomScaleNormal="70" workbookViewId="0">
      <selection sqref="A1:Z1"/>
    </sheetView>
  </sheetViews>
  <sheetFormatPr defaultRowHeight="15" x14ac:dyDescent="0.25"/>
  <cols>
    <col min="1" max="30" width="7.85546875" style="18" customWidth="1"/>
    <col min="31" max="16384" width="9.140625" style="18"/>
  </cols>
  <sheetData>
    <row r="1" spans="1:26" ht="54" customHeight="1" x14ac:dyDescent="0.25">
      <c r="A1" s="22" t="s">
        <v>52</v>
      </c>
      <c r="B1" s="23"/>
      <c r="C1" s="23"/>
      <c r="D1" s="23"/>
      <c r="E1" s="23"/>
      <c r="F1" s="23"/>
      <c r="G1" s="23"/>
      <c r="H1" s="23"/>
      <c r="I1" s="23"/>
      <c r="J1" s="23"/>
      <c r="K1" s="23"/>
      <c r="L1" s="23"/>
      <c r="M1" s="23"/>
      <c r="N1" s="23"/>
      <c r="O1" s="23"/>
      <c r="P1" s="23"/>
      <c r="Q1" s="23"/>
      <c r="R1" s="23"/>
      <c r="S1" s="23"/>
      <c r="T1" s="23"/>
      <c r="U1" s="23"/>
      <c r="V1" s="23"/>
      <c r="W1" s="23"/>
      <c r="X1" s="23"/>
      <c r="Y1" s="23"/>
      <c r="Z1" s="23"/>
    </row>
    <row r="2" spans="1:26" ht="8.1" customHeight="1" x14ac:dyDescent="0.25">
      <c r="A2" s="19"/>
      <c r="B2" s="19"/>
      <c r="C2" s="19"/>
      <c r="D2" s="19"/>
      <c r="E2" s="19"/>
      <c r="F2" s="19"/>
      <c r="G2" s="19"/>
      <c r="H2" s="19"/>
      <c r="I2" s="19"/>
      <c r="J2" s="19"/>
      <c r="K2" s="19"/>
      <c r="L2" s="19"/>
      <c r="M2" s="19"/>
      <c r="N2" s="19"/>
      <c r="O2" s="19"/>
      <c r="P2" s="19"/>
      <c r="Q2" s="19"/>
      <c r="R2" s="19"/>
      <c r="S2" s="19"/>
      <c r="T2" s="19"/>
      <c r="U2" s="19"/>
      <c r="V2" s="19"/>
      <c r="W2" s="19"/>
      <c r="X2" s="19"/>
      <c r="Y2" s="19"/>
      <c r="Z2" s="19"/>
    </row>
    <row r="3" spans="1:26" ht="26.1" customHeight="1" x14ac:dyDescent="0.25">
      <c r="A3" s="19"/>
      <c r="B3" s="24" t="s">
        <v>53</v>
      </c>
      <c r="C3" s="24"/>
      <c r="D3" s="24"/>
      <c r="E3" s="24"/>
      <c r="F3" s="19"/>
      <c r="G3" s="26" t="s">
        <v>54</v>
      </c>
      <c r="H3" s="26"/>
      <c r="I3" s="26"/>
      <c r="J3" s="26"/>
      <c r="K3" s="19"/>
      <c r="L3" s="28" t="s">
        <v>55</v>
      </c>
      <c r="M3" s="28"/>
      <c r="N3" s="28"/>
      <c r="O3" s="28"/>
      <c r="P3" s="19"/>
      <c r="Q3" s="30" t="s">
        <v>56</v>
      </c>
      <c r="R3" s="30"/>
      <c r="S3" s="30"/>
      <c r="T3" s="30"/>
      <c r="U3" s="19"/>
      <c r="V3" s="32" t="s">
        <v>57</v>
      </c>
      <c r="W3" s="32"/>
      <c r="X3" s="32"/>
      <c r="Y3" s="32"/>
      <c r="Z3" s="19"/>
    </row>
    <row r="4" spans="1:26" ht="33.950000000000003" customHeight="1" x14ac:dyDescent="0.25">
      <c r="A4" s="19"/>
      <c r="B4" s="25">
        <f>IFERROR(GETPIVOTDATA("Total Revenue",Pivot!A2),0)</f>
        <v>827381</v>
      </c>
      <c r="C4" s="25"/>
      <c r="D4" s="25"/>
      <c r="E4" s="25"/>
      <c r="F4" s="19"/>
      <c r="G4" s="27">
        <f>IFERROR(GETPIVOTDATA("Total Profit",Pivot!A2),0)</f>
        <v>533669</v>
      </c>
      <c r="H4" s="27"/>
      <c r="I4" s="27"/>
      <c r="J4" s="27"/>
      <c r="K4" s="19"/>
      <c r="L4" s="29">
        <f>IFERROR(GETPIVOTDATA("UnitsSold",Pivot!A2),0)</f>
        <v>2980</v>
      </c>
      <c r="M4" s="29"/>
      <c r="N4" s="29"/>
      <c r="O4" s="29"/>
      <c r="P4" s="19"/>
      <c r="Q4" s="31">
        <f>IFERROR(GETPIVOTDATA("Total Expenses",Pivot!A2),0)</f>
        <v>293712</v>
      </c>
      <c r="R4" s="31"/>
      <c r="S4" s="31"/>
      <c r="T4" s="31"/>
      <c r="U4" s="19"/>
      <c r="V4" s="21">
        <f>IFERROR(GETPIVOTDATA("Total Profit",Pivot!A2)/GETPIVOTDATA("Total Revenue",Pivot!A2),0)</f>
        <v>0.64500997726561282</v>
      </c>
      <c r="W4" s="21"/>
      <c r="X4" s="21"/>
      <c r="Y4" s="21"/>
      <c r="Z4" s="19"/>
    </row>
    <row r="5" spans="1:26" ht="8.1" customHeight="1" x14ac:dyDescent="0.25">
      <c r="A5" s="19"/>
      <c r="B5" s="19"/>
      <c r="C5" s="19"/>
      <c r="D5" s="19"/>
      <c r="E5" s="19"/>
      <c r="F5" s="19"/>
      <c r="G5" s="19"/>
      <c r="H5" s="19"/>
      <c r="I5" s="19"/>
      <c r="J5" s="19"/>
      <c r="K5" s="19"/>
      <c r="L5" s="19"/>
      <c r="M5" s="19"/>
      <c r="N5" s="19"/>
      <c r="O5" s="19"/>
      <c r="P5" s="19"/>
      <c r="Q5" s="19"/>
      <c r="R5" s="19"/>
      <c r="S5" s="19"/>
      <c r="T5" s="19"/>
      <c r="U5" s="19"/>
      <c r="V5" s="19"/>
      <c r="W5" s="19"/>
      <c r="X5" s="19"/>
      <c r="Y5" s="19"/>
      <c r="Z5" s="19"/>
    </row>
    <row r="6" spans="1:26" ht="14.1" customHeight="1" x14ac:dyDescent="0.25">
      <c r="A6" s="19"/>
      <c r="B6" s="19"/>
      <c r="C6" s="19"/>
      <c r="D6" s="19"/>
      <c r="E6" s="19"/>
      <c r="F6" s="19"/>
      <c r="G6" s="19"/>
      <c r="H6" s="19"/>
      <c r="I6" s="19"/>
      <c r="J6" s="19"/>
      <c r="K6" s="19"/>
      <c r="L6" s="19"/>
      <c r="M6" s="19"/>
      <c r="N6" s="19"/>
      <c r="O6" s="19"/>
      <c r="P6" s="19"/>
      <c r="Q6" s="19"/>
      <c r="R6" s="19"/>
      <c r="S6" s="19"/>
      <c r="T6" s="19"/>
      <c r="U6" s="19"/>
      <c r="V6" s="19"/>
      <c r="W6" s="19"/>
      <c r="X6" s="19"/>
      <c r="Y6" s="19"/>
      <c r="Z6" s="19"/>
    </row>
    <row r="7" spans="1:26" ht="14.1" customHeight="1" x14ac:dyDescent="0.25">
      <c r="A7" s="19"/>
      <c r="B7" s="19"/>
      <c r="C7" s="19"/>
      <c r="D7" s="19"/>
      <c r="E7" s="19"/>
      <c r="F7" s="19"/>
      <c r="G7" s="19"/>
      <c r="H7" s="19"/>
      <c r="I7" s="19"/>
      <c r="J7" s="19"/>
      <c r="K7" s="19"/>
      <c r="L7" s="19"/>
      <c r="M7" s="19"/>
      <c r="N7" s="19"/>
      <c r="O7" s="19"/>
      <c r="P7" s="19"/>
      <c r="Q7" s="19"/>
      <c r="R7" s="19"/>
      <c r="S7" s="19"/>
      <c r="T7" s="19"/>
      <c r="U7" s="19"/>
      <c r="V7" s="19"/>
      <c r="W7" s="19"/>
      <c r="X7" s="19"/>
      <c r="Y7" s="19"/>
      <c r="Z7" s="19"/>
    </row>
    <row r="8" spans="1:26" ht="14.1" customHeight="1" x14ac:dyDescent="0.25">
      <c r="A8" s="19"/>
      <c r="B8" s="19"/>
      <c r="C8" s="19"/>
      <c r="D8" s="19"/>
      <c r="E8" s="19"/>
      <c r="F8" s="19"/>
      <c r="G8" s="19"/>
      <c r="H8" s="19"/>
      <c r="I8" s="19"/>
      <c r="J8" s="19"/>
      <c r="K8" s="19"/>
      <c r="L8" s="19"/>
      <c r="M8" s="19"/>
      <c r="N8" s="19"/>
      <c r="O8" s="19"/>
      <c r="P8" s="19"/>
      <c r="Q8" s="19"/>
      <c r="R8" s="19"/>
      <c r="S8" s="19"/>
      <c r="T8" s="19"/>
      <c r="U8" s="19"/>
      <c r="V8" s="19"/>
      <c r="W8" s="19"/>
      <c r="X8" s="19"/>
      <c r="Y8" s="19"/>
      <c r="Z8" s="19"/>
    </row>
    <row r="9" spans="1:26" ht="14.1" customHeight="1" x14ac:dyDescent="0.25">
      <c r="A9" s="19"/>
      <c r="B9" s="19"/>
      <c r="C9" s="19"/>
      <c r="D9" s="19"/>
      <c r="E9" s="19"/>
      <c r="F9" s="19"/>
      <c r="G9" s="19"/>
      <c r="H9" s="19"/>
      <c r="I9" s="19"/>
      <c r="J9" s="19"/>
      <c r="K9" s="19"/>
      <c r="L9" s="19"/>
      <c r="M9" s="19"/>
      <c r="N9" s="19"/>
      <c r="O9" s="19"/>
      <c r="P9" s="19"/>
      <c r="Q9" s="19"/>
      <c r="R9" s="19"/>
      <c r="S9" s="19"/>
      <c r="T9" s="19"/>
      <c r="U9" s="19"/>
      <c r="V9" s="19"/>
      <c r="W9" s="19"/>
      <c r="X9" s="19"/>
      <c r="Y9" s="19"/>
      <c r="Z9" s="19"/>
    </row>
    <row r="10" spans="1:26" ht="14.1" customHeight="1"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row>
    <row r="11" spans="1:26" ht="14.1" customHeight="1"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row>
    <row r="12" spans="1:26" ht="14.1" customHeight="1"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row>
    <row r="13" spans="1:26" ht="14.1" customHeight="1"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row>
    <row r="14" spans="1:26" ht="14.1" customHeight="1"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row>
    <row r="15" spans="1:26" ht="14.1" customHeight="1"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row>
    <row r="16" spans="1:26" ht="14.1" customHeight="1"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row>
    <row r="17" spans="1:26" ht="14.1" customHeight="1"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row>
    <row r="18" spans="1:26" ht="14.1" customHeight="1"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row>
    <row r="19" spans="1:26" ht="14.1" customHeight="1"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row>
    <row r="20" spans="1:26" ht="14.1" customHeight="1"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row>
    <row r="21" spans="1:26" ht="14.1" customHeight="1"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row>
    <row r="22" spans="1:26" ht="14.1" customHeight="1"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row>
    <row r="23" spans="1:26" ht="14.1" customHeight="1"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row>
    <row r="24" spans="1:26" ht="14.1" customHeight="1"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row>
    <row r="25" spans="1:26" ht="14.1" customHeight="1"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row>
    <row r="26" spans="1:26" ht="14.1" customHeight="1"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row>
    <row r="27" spans="1:26" ht="14.1" customHeight="1"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row>
    <row r="28" spans="1:26" ht="14.1" customHeight="1"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row>
    <row r="29" spans="1:26" ht="14.1" customHeight="1"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row>
    <row r="30" spans="1:26" ht="14.1" customHeight="1"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row>
    <row r="31" spans="1:26" ht="14.1" customHeight="1"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row>
    <row r="32" spans="1:26" ht="14.1" customHeight="1"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row>
    <row r="33" spans="1:26" ht="14.1" customHeight="1"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row>
    <row r="34" spans="1:26" ht="14.1" customHeight="1"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row>
    <row r="35" spans="1:26" ht="14.1" customHeight="1"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row>
  </sheetData>
  <mergeCells count="11">
    <mergeCell ref="V4:Y4"/>
    <mergeCell ref="A1:Z1"/>
    <mergeCell ref="B3:E3"/>
    <mergeCell ref="B4:E4"/>
    <mergeCell ref="G3:J3"/>
    <mergeCell ref="G4:J4"/>
    <mergeCell ref="L3:O3"/>
    <mergeCell ref="L4:O4"/>
    <mergeCell ref="Q3:T3"/>
    <mergeCell ref="Q4:T4"/>
    <mergeCell ref="V3:Y3"/>
  </mergeCells>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Props1.xml><?xml version="1.0" encoding="utf-8"?>
<ds:datastoreItem xmlns:ds="http://schemas.openxmlformats.org/officeDocument/2006/customXml" ds:itemID="{DC5C7B37-389B-4E94-AD92-BDD88ED1F3AE}">
  <ds:schemaRefs>
    <ds:schemaRef ds:uri="http://schemas.microsoft.com/sharepoint/v3/contenttype/forms"/>
  </ds:schemaRefs>
</ds:datastoreItem>
</file>

<file path=customXml/itemProps2.xml><?xml version="1.0" encoding="utf-8"?>
<ds:datastoreItem xmlns:ds="http://schemas.openxmlformats.org/officeDocument/2006/customXml" ds:itemID="{61D480BD-60B5-47BC-8430-FB7F04BBEA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704107-29A7-4FA9-B683-15D708AE1E9D}">
  <ds:schemaRefs>
    <ds:schemaRef ds:uri="http://purl.org/dc/elements/1.1/"/>
    <ds:schemaRef ds:uri="4d07b3ec-8c3b-4de2-8537-6a594c5b2a50"/>
    <ds:schemaRef ds:uri="http://schemas.microsoft.com/office/2006/documentManagement/types"/>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 ds:uri="db0ba53e-1dc5-4ed7-8881-11f125da468b"/>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ELIYAS N</cp:lastModifiedBy>
  <dcterms:created xsi:type="dcterms:W3CDTF">2026-05-04T11:13:46Z</dcterms:created>
  <dcterms:modified xsi:type="dcterms:W3CDTF">2026-06-24T07:45:27Z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